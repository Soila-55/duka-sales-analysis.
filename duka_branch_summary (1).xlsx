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ranch_Summary" sheetId="1" state="visible" r:id="rId3"/>
    <sheet name="Data" sheetId="2" state="visible" r:id="rId4"/>
    <sheet name="Regions" sheetId="3" state="visible" r:id="rId5"/>
    <sheet name="Pivot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<sst xmlns="http://schemas.openxmlformats.org/spreadsheetml/2006/main" count="5048" uniqueCount="1217">
  <si>
    <t xml:space="preserve">branch</t>
  </si>
  <si>
    <t xml:space="preserve">total_revenue_kes</t>
  </si>
  <si>
    <t xml:space="preserve">orders</t>
  </si>
  <si>
    <t xml:space="preserve">revenue_rank</t>
  </si>
  <si>
    <t xml:space="preserve">region</t>
  </si>
  <si>
    <t xml:space="preserve">Notes</t>
  </si>
  <si>
    <t xml:space="preserve">Nairobi</t>
  </si>
  <si>
    <t xml:space="preserve">revenue = units x unit_price (Data!H). Region uses XLOOKUP against the Regions sheet.</t>
  </si>
  <si>
    <t xml:space="preserve">Mombasa</t>
  </si>
  <si>
    <t xml:space="preserve">PivotTable of revenue by branch and channel is on the 'Pivot' sheet.</t>
  </si>
  <si>
    <t xml:space="preserve">Nakuru</t>
  </si>
  <si>
    <t xml:space="preserve">Eldoret</t>
  </si>
  <si>
    <t xml:space="preserve">Kisumu</t>
  </si>
  <si>
    <t xml:space="preserve">TOTAL</t>
  </si>
  <si>
    <t xml:space="preserve">order_id</t>
  </si>
  <si>
    <t xml:space="preserve">order_date</t>
  </si>
  <si>
    <t xml:space="preserve">product</t>
  </si>
  <si>
    <t xml:space="preserve">channel</t>
  </si>
  <si>
    <t xml:space="preserve">units</t>
  </si>
  <si>
    <t xml:space="preserve">unit_price</t>
  </si>
  <si>
    <t xml:space="preserve">revenue</t>
  </si>
  <si>
    <t xml:space="preserve">DK0118</t>
  </si>
  <si>
    <t xml:space="preserve">2026-01-01</t>
  </si>
  <si>
    <t xml:space="preserve">Headphones</t>
  </si>
  <si>
    <t xml:space="preserve">In-Store</t>
  </si>
  <si>
    <t xml:space="preserve">DK0287</t>
  </si>
  <si>
    <t xml:space="preserve">Power Bank</t>
  </si>
  <si>
    <t xml:space="preserve">Online</t>
  </si>
  <si>
    <t xml:space="preserve">DK0079</t>
  </si>
  <si>
    <t xml:space="preserve">Smart TV</t>
  </si>
  <si>
    <t xml:space="preserve">DK0938</t>
  </si>
  <si>
    <t xml:space="preserve">Laptop</t>
  </si>
  <si>
    <t xml:space="preserve">DK0554</t>
  </si>
  <si>
    <t xml:space="preserve">2026-01-02</t>
  </si>
  <si>
    <t xml:space="preserve">Smartphone</t>
  </si>
  <si>
    <t xml:space="preserve">DK0606</t>
  </si>
  <si>
    <t xml:space="preserve">DK0979</t>
  </si>
  <si>
    <t xml:space="preserve">DK0875</t>
  </si>
  <si>
    <t xml:space="preserve">DK0483</t>
  </si>
  <si>
    <t xml:space="preserve">DK0385</t>
  </si>
  <si>
    <t xml:space="preserve">Tablet</t>
  </si>
  <si>
    <t xml:space="preserve">DK0842</t>
  </si>
  <si>
    <t xml:space="preserve">DK0507</t>
  </si>
  <si>
    <t xml:space="preserve">DK0170</t>
  </si>
  <si>
    <t xml:space="preserve">2026-01-03</t>
  </si>
  <si>
    <t xml:space="preserve">DK0048</t>
  </si>
  <si>
    <t xml:space="preserve">DK0536</t>
  </si>
  <si>
    <t xml:space="preserve">DK0462</t>
  </si>
  <si>
    <t xml:space="preserve">DK0974</t>
  </si>
  <si>
    <t xml:space="preserve">DK0867</t>
  </si>
  <si>
    <t xml:space="preserve">2026-01-04</t>
  </si>
  <si>
    <t xml:space="preserve">DK0430</t>
  </si>
  <si>
    <t xml:space="preserve">DK0710</t>
  </si>
  <si>
    <t xml:space="preserve">2026-01-05</t>
  </si>
  <si>
    <t xml:space="preserve">DK0158</t>
  </si>
  <si>
    <t xml:space="preserve">DK0405</t>
  </si>
  <si>
    <t xml:space="preserve">DK0463</t>
  </si>
  <si>
    <t xml:space="preserve">DK0832</t>
  </si>
  <si>
    <t xml:space="preserve">DK0391</t>
  </si>
  <si>
    <t xml:space="preserve">DK0492</t>
  </si>
  <si>
    <t xml:space="preserve">DK0003</t>
  </si>
  <si>
    <t xml:space="preserve">DK0981</t>
  </si>
  <si>
    <t xml:space="preserve">DK0221</t>
  </si>
  <si>
    <t xml:space="preserve">2026-01-06</t>
  </si>
  <si>
    <t xml:space="preserve">DK0503</t>
  </si>
  <si>
    <t xml:space="preserve">DK0232</t>
  </si>
  <si>
    <t xml:space="preserve">DK0762</t>
  </si>
  <si>
    <t xml:space="preserve">DK0336</t>
  </si>
  <si>
    <t xml:space="preserve">DK0349</t>
  </si>
  <si>
    <t xml:space="preserve">DK0927</t>
  </si>
  <si>
    <t xml:space="preserve">DK0331</t>
  </si>
  <si>
    <t xml:space="preserve">2026-01-07</t>
  </si>
  <si>
    <t xml:space="preserve">DK0899</t>
  </si>
  <si>
    <t xml:space="preserve">DK0159</t>
  </si>
  <si>
    <t xml:space="preserve">DK0111</t>
  </si>
  <si>
    <t xml:space="preserve">DK0893</t>
  </si>
  <si>
    <t xml:space="preserve">DK0808</t>
  </si>
  <si>
    <t xml:space="preserve">DK0103</t>
  </si>
  <si>
    <t xml:space="preserve">DK0783</t>
  </si>
  <si>
    <t xml:space="preserve">2026-01-08</t>
  </si>
  <si>
    <t xml:space="preserve">DK0613</t>
  </si>
  <si>
    <t xml:space="preserve">DK0513</t>
  </si>
  <si>
    <t xml:space="preserve">DK0119</t>
  </si>
  <si>
    <t xml:space="preserve">DK0332</t>
  </si>
  <si>
    <t xml:space="preserve">DK0768</t>
  </si>
  <si>
    <t xml:space="preserve">2026-01-09</t>
  </si>
  <si>
    <t xml:space="preserve">DK0542</t>
  </si>
  <si>
    <t xml:space="preserve">DK0293</t>
  </si>
  <si>
    <t xml:space="preserve">DK0305</t>
  </si>
  <si>
    <t xml:space="preserve">DK0620</t>
  </si>
  <si>
    <t xml:space="preserve">2026-01-10</t>
  </si>
  <si>
    <t xml:space="preserve">DK0865</t>
  </si>
  <si>
    <t xml:space="preserve">DK0810</t>
  </si>
  <si>
    <t xml:space="preserve">DK0971</t>
  </si>
  <si>
    <t xml:space="preserve">DK0857</t>
  </si>
  <si>
    <t xml:space="preserve">DK0515</t>
  </si>
  <si>
    <t xml:space="preserve">DK0134</t>
  </si>
  <si>
    <t xml:space="preserve">2026-01-11</t>
  </si>
  <si>
    <t xml:space="preserve">DK0633</t>
  </si>
  <si>
    <t xml:space="preserve">DK0543</t>
  </si>
  <si>
    <t xml:space="preserve">DK0301</t>
  </si>
  <si>
    <t xml:space="preserve">DK0856</t>
  </si>
  <si>
    <t xml:space="preserve">DK0165</t>
  </si>
  <si>
    <t xml:space="preserve">DK0269</t>
  </si>
  <si>
    <t xml:space="preserve">2026-01-12</t>
  </si>
  <si>
    <t xml:space="preserve">DK0521</t>
  </si>
  <si>
    <t xml:space="preserve">DK0593</t>
  </si>
  <si>
    <t xml:space="preserve">DK0539</t>
  </si>
  <si>
    <t xml:space="preserve">DK0789</t>
  </si>
  <si>
    <t xml:space="preserve">DK0193</t>
  </si>
  <si>
    <t xml:space="preserve">2026-01-13</t>
  </si>
  <si>
    <t xml:space="preserve">DK0212</t>
  </si>
  <si>
    <t xml:space="preserve">DK0496</t>
  </si>
  <si>
    <t xml:space="preserve">2026-01-14</t>
  </si>
  <si>
    <t xml:space="preserve">DK0970</t>
  </si>
  <si>
    <t xml:space="preserve">DK0706</t>
  </si>
  <si>
    <t xml:space="preserve">DK0352</t>
  </si>
  <si>
    <t xml:space="preserve">DK0619</t>
  </si>
  <si>
    <t xml:space="preserve">DK0864</t>
  </si>
  <si>
    <t xml:space="preserve">DK0818</t>
  </si>
  <si>
    <t xml:space="preserve">DK0191</t>
  </si>
  <si>
    <t xml:space="preserve">2026-01-15</t>
  </si>
  <si>
    <t xml:space="preserve">DK0007</t>
  </si>
  <si>
    <t xml:space="preserve">DK0251</t>
  </si>
  <si>
    <t xml:space="preserve">DK0838</t>
  </si>
  <si>
    <t xml:space="preserve">DK0414</t>
  </si>
  <si>
    <t xml:space="preserve">DK0085</t>
  </si>
  <si>
    <t xml:space="preserve">DK0376</t>
  </si>
  <si>
    <t xml:space="preserve">DK0866</t>
  </si>
  <si>
    <t xml:space="preserve">2026-01-16</t>
  </si>
  <si>
    <t xml:space="preserve">DK0167</t>
  </si>
  <si>
    <t xml:space="preserve">DK0991</t>
  </si>
  <si>
    <t xml:space="preserve">DK0234</t>
  </si>
  <si>
    <t xml:space="preserve">DK0640</t>
  </si>
  <si>
    <t xml:space="preserve">DK0128</t>
  </si>
  <si>
    <t xml:space="preserve">2026-01-17</t>
  </si>
  <si>
    <t xml:space="preserve">DK0043</t>
  </si>
  <si>
    <t xml:space="preserve">DK0904</t>
  </si>
  <si>
    <t xml:space="preserve">DK0887</t>
  </si>
  <si>
    <t xml:space="preserve">DK0744</t>
  </si>
  <si>
    <t xml:space="preserve">DK0736</t>
  </si>
  <si>
    <t xml:space="preserve">DK0961</t>
  </si>
  <si>
    <t xml:space="preserve">DK0541</t>
  </si>
  <si>
    <t xml:space="preserve">DK0168</t>
  </si>
  <si>
    <t xml:space="preserve">DK0920</t>
  </si>
  <si>
    <t xml:space="preserve">2026-01-18</t>
  </si>
  <si>
    <t xml:space="preserve">DK0019</t>
  </si>
  <si>
    <t xml:space="preserve">DK0431</t>
  </si>
  <si>
    <t xml:space="preserve">DK0638</t>
  </si>
  <si>
    <t xml:space="preserve">DK0298</t>
  </si>
  <si>
    <t xml:space="preserve">2026-01-19</t>
  </si>
  <si>
    <t xml:space="preserve">DK0286</t>
  </si>
  <si>
    <t xml:space="preserve">DK0163</t>
  </si>
  <si>
    <t xml:space="preserve">DK0843</t>
  </si>
  <si>
    <t xml:space="preserve">DK0998</t>
  </si>
  <si>
    <t xml:space="preserve">2026-01-20</t>
  </si>
  <si>
    <t xml:space="preserve">DK0155</t>
  </si>
  <si>
    <t xml:space="preserve">DK0651</t>
  </si>
  <si>
    <t xml:space="preserve">DK0556</t>
  </si>
  <si>
    <t xml:space="preserve">DK0506</t>
  </si>
  <si>
    <t xml:space="preserve">DK0455</t>
  </si>
  <si>
    <t xml:space="preserve">DK0087</t>
  </si>
  <si>
    <t xml:space="preserve">DK0549</t>
  </si>
  <si>
    <t xml:space="preserve">DK0294</t>
  </si>
  <si>
    <t xml:space="preserve">2026-01-21</t>
  </si>
  <si>
    <t xml:space="preserve">DK0594</t>
  </si>
  <si>
    <t xml:space="preserve">DK0965</t>
  </si>
  <si>
    <t xml:space="preserve">DK0029</t>
  </si>
  <si>
    <t xml:space="preserve">2026-01-22</t>
  </si>
  <si>
    <t xml:space="preserve">DK0338</t>
  </si>
  <si>
    <t xml:space="preserve">DK0252</t>
  </si>
  <si>
    <t xml:space="preserve">DK0566</t>
  </si>
  <si>
    <t xml:space="preserve">DK0493</t>
  </si>
  <si>
    <t xml:space="preserve">DK0445</t>
  </si>
  <si>
    <t xml:space="preserve">DK0498</t>
  </si>
  <si>
    <t xml:space="preserve">DK0596</t>
  </si>
  <si>
    <t xml:space="preserve">2026-01-23</t>
  </si>
  <si>
    <t xml:space="preserve">DK0870</t>
  </si>
  <si>
    <t xml:space="preserve">DK0825</t>
  </si>
  <si>
    <t xml:space="preserve">DK0312</t>
  </si>
  <si>
    <t xml:space="preserve">2026-01-24</t>
  </si>
  <si>
    <t xml:space="preserve">DK0912</t>
  </si>
  <si>
    <t xml:space="preserve">DK0317</t>
  </si>
  <si>
    <t xml:space="preserve">DK0767</t>
  </si>
  <si>
    <t xml:space="preserve">DK0980</t>
  </si>
  <si>
    <t xml:space="preserve">DK0228</t>
  </si>
  <si>
    <t xml:space="preserve">DK0687</t>
  </si>
  <si>
    <t xml:space="preserve">DK0639</t>
  </si>
  <si>
    <t xml:space="preserve">DK0932</t>
  </si>
  <si>
    <t xml:space="preserve">2026-01-25</t>
  </si>
  <si>
    <t xml:space="preserve">DK0207</t>
  </si>
  <si>
    <t xml:space="preserve">DK0204</t>
  </si>
  <si>
    <t xml:space="preserve">DK0285</t>
  </si>
  <si>
    <t xml:space="preserve">DK0367</t>
  </si>
  <si>
    <t xml:space="preserve">DK0793</t>
  </si>
  <si>
    <t xml:space="preserve">2026-01-26</t>
  </si>
  <si>
    <t xml:space="preserve">DK0553</t>
  </si>
  <si>
    <t xml:space="preserve">DK0490</t>
  </si>
  <si>
    <t xml:space="preserve">DK0569</t>
  </si>
  <si>
    <t xml:space="preserve">DK0441</t>
  </si>
  <si>
    <t xml:space="preserve">2026-01-27</t>
  </si>
  <si>
    <t xml:space="preserve">DK0039</t>
  </si>
  <si>
    <t xml:space="preserve">DK0311</t>
  </si>
  <si>
    <t xml:space="preserve">DK0686</t>
  </si>
  <si>
    <t xml:space="preserve">DK0589</t>
  </si>
  <si>
    <t xml:space="preserve">DK0872</t>
  </si>
  <si>
    <t xml:space="preserve">DK0209</t>
  </si>
  <si>
    <t xml:space="preserve">DK0752</t>
  </si>
  <si>
    <t xml:space="preserve">DK0705</t>
  </si>
  <si>
    <t xml:space="preserve">DK0457</t>
  </si>
  <si>
    <t xml:space="preserve">2026-01-28</t>
  </si>
  <si>
    <t xml:space="preserve">DK0953</t>
  </si>
  <si>
    <t xml:space="preserve">DK0702</t>
  </si>
  <si>
    <t xml:space="preserve">DK0780</t>
  </si>
  <si>
    <t xml:space="preserve">DK0325</t>
  </si>
  <si>
    <t xml:space="preserve">2026-01-29</t>
  </si>
  <si>
    <t xml:space="preserve">DK0939</t>
  </si>
  <si>
    <t xml:space="preserve">DK0037</t>
  </si>
  <si>
    <t xml:space="preserve">DK0097</t>
  </si>
  <si>
    <t xml:space="preserve">DK0382</t>
  </si>
  <si>
    <t xml:space="preserve">2026-01-30</t>
  </si>
  <si>
    <t xml:space="preserve">DK1000</t>
  </si>
  <si>
    <t xml:space="preserve">DK0154</t>
  </si>
  <si>
    <t xml:space="preserve">DK0504</t>
  </si>
  <si>
    <t xml:space="preserve">DK0021</t>
  </si>
  <si>
    <t xml:space="preserve">DK0053</t>
  </si>
  <si>
    <t xml:space="preserve">DK0698</t>
  </si>
  <si>
    <t xml:space="preserve">DK0724</t>
  </si>
  <si>
    <t xml:space="preserve">2026-01-31</t>
  </si>
  <si>
    <t xml:space="preserve">DK0657</t>
  </si>
  <si>
    <t xml:space="preserve">DK0564</t>
  </si>
  <si>
    <t xml:space="preserve">DK0356</t>
  </si>
  <si>
    <t xml:space="preserve">DK0129</t>
  </si>
  <si>
    <t xml:space="preserve">2026-02-01</t>
  </si>
  <si>
    <t xml:space="preserve">DK0859</t>
  </si>
  <si>
    <t xml:space="preserve">DK0343</t>
  </si>
  <si>
    <t xml:space="preserve">DK0763</t>
  </si>
  <si>
    <t xml:space="preserve">DK0183</t>
  </si>
  <si>
    <t xml:space="preserve">DK0002</t>
  </si>
  <si>
    <t xml:space="preserve">2026-02-02</t>
  </si>
  <si>
    <t xml:space="preserve">DK0966</t>
  </si>
  <si>
    <t xml:space="preserve">DK0016</t>
  </si>
  <si>
    <t xml:space="preserve">DK0440</t>
  </si>
  <si>
    <t xml:space="preserve">DK0363</t>
  </si>
  <si>
    <t xml:space="preserve">DK0396</t>
  </si>
  <si>
    <t xml:space="preserve">DK0318</t>
  </si>
  <si>
    <t xml:space="preserve">2026-02-03</t>
  </si>
  <si>
    <t xml:space="preserve">DK0761</t>
  </si>
  <si>
    <t xml:space="preserve">DK0769</t>
  </si>
  <si>
    <t xml:space="preserve">DK0622</t>
  </si>
  <si>
    <t xml:space="preserve">DK0096</t>
  </si>
  <si>
    <t xml:space="preserve">2026-02-04</t>
  </si>
  <si>
    <t xml:space="preserve">DK0261</t>
  </si>
  <si>
    <t xml:space="preserve">DK0610</t>
  </si>
  <si>
    <t xml:space="preserve">DK0145</t>
  </si>
  <si>
    <t xml:space="preserve">DK0184</t>
  </si>
  <si>
    <t xml:space="preserve">DK0632</t>
  </si>
  <si>
    <t xml:space="preserve">DK0054</t>
  </si>
  <si>
    <t xml:space="preserve">2026-02-05</t>
  </si>
  <si>
    <t xml:space="preserve">DK0946</t>
  </si>
  <si>
    <t xml:space="preserve">DK0892</t>
  </si>
  <si>
    <t xml:space="preserve">DK0631</t>
  </si>
  <si>
    <t xml:space="preserve">DK0995</t>
  </si>
  <si>
    <t xml:space="preserve">2026-02-06</t>
  </si>
  <si>
    <t xml:space="preserve">DK0985</t>
  </si>
  <si>
    <t xml:space="preserve">DK0535</t>
  </si>
  <si>
    <t xml:space="preserve">DK0696</t>
  </si>
  <si>
    <t xml:space="preserve">DK0532</t>
  </si>
  <si>
    <t xml:space="preserve">DK0464</t>
  </si>
  <si>
    <t xml:space="preserve">DK0419</t>
  </si>
  <si>
    <t xml:space="preserve">DK0422</t>
  </si>
  <si>
    <t xml:space="preserve">2026-02-07</t>
  </si>
  <si>
    <t xml:space="preserve">DK0963</t>
  </si>
  <si>
    <t xml:space="preserve">DK0406</t>
  </si>
  <si>
    <t xml:space="preserve">DK0906</t>
  </si>
  <si>
    <t xml:space="preserve">DK0069</t>
  </si>
  <si>
    <t xml:space="preserve">DK0062</t>
  </si>
  <si>
    <t xml:space="preserve">DK0342</t>
  </si>
  <si>
    <t xml:space="preserve">DK0822</t>
  </si>
  <si>
    <t xml:space="preserve">2026-02-08</t>
  </si>
  <si>
    <t xml:space="preserve">DK0740</t>
  </si>
  <si>
    <t xml:space="preserve">DK0416</t>
  </si>
  <si>
    <t xml:space="preserve">DK0292</t>
  </si>
  <si>
    <t xml:space="preserve">2026-02-09</t>
  </si>
  <si>
    <t xml:space="preserve">DK0802</t>
  </si>
  <si>
    <t xml:space="preserve">DK0270</t>
  </si>
  <si>
    <t xml:space="preserve">DK0896</t>
  </si>
  <si>
    <t xml:space="preserve">DK0755</t>
  </si>
  <si>
    <t xml:space="preserve">DK0918</t>
  </si>
  <si>
    <t xml:space="preserve">2026-02-10</t>
  </si>
  <si>
    <t xml:space="preserve">DK0879</t>
  </si>
  <si>
    <t xml:space="preserve">DK0365</t>
  </si>
  <si>
    <t xml:space="preserve">DK0597</t>
  </si>
  <si>
    <t xml:space="preserve">DK0509</t>
  </si>
  <si>
    <t xml:space="preserve">DK0040</t>
  </si>
  <si>
    <t xml:space="preserve">DK0090</t>
  </si>
  <si>
    <t xml:space="preserve">2026-02-11</t>
  </si>
  <si>
    <t xml:space="preserve">DK0377</t>
  </si>
  <si>
    <t xml:space="preserve">DK0238</t>
  </si>
  <si>
    <t xml:space="preserve">DK0935</t>
  </si>
  <si>
    <t xml:space="preserve">DK0930</t>
  </si>
  <si>
    <t xml:space="preserve">DK0499</t>
  </si>
  <si>
    <t xml:space="preserve">DK0962</t>
  </si>
  <si>
    <t xml:space="preserve">DK0525</t>
  </si>
  <si>
    <t xml:space="preserve">2026-02-12</t>
  </si>
  <si>
    <t xml:space="preserve">DK0758</t>
  </si>
  <si>
    <t xml:space="preserve">DK0852</t>
  </si>
  <si>
    <t xml:space="preserve">DK0500</t>
  </si>
  <si>
    <t xml:space="preserve">DK0198</t>
  </si>
  <si>
    <t xml:space="preserve">DK0326</t>
  </si>
  <si>
    <t xml:space="preserve">2026-02-13</t>
  </si>
  <si>
    <t xml:space="preserve">DK0813</t>
  </si>
  <si>
    <t xml:space="preserve">DK0425</t>
  </si>
  <si>
    <t xml:space="preserve">DK0587</t>
  </si>
  <si>
    <t xml:space="preserve">DK0313</t>
  </si>
  <si>
    <t xml:space="preserve">DK0753</t>
  </si>
  <si>
    <t xml:space="preserve">DK0308</t>
  </si>
  <si>
    <t xml:space="preserve">DK0711</t>
  </si>
  <si>
    <t xml:space="preserve">DK0291</t>
  </si>
  <si>
    <t xml:space="preserve">DK0187</t>
  </si>
  <si>
    <t xml:space="preserve">2026-02-14</t>
  </si>
  <si>
    <t xml:space="preserve">DK0689</t>
  </si>
  <si>
    <t xml:space="preserve">DK0975</t>
  </si>
  <si>
    <t xml:space="preserve">DK0723</t>
  </si>
  <si>
    <t xml:space="preserve">2026-02-15</t>
  </si>
  <si>
    <t xml:space="preserve">DK0804</t>
  </si>
  <si>
    <t xml:space="preserve">DK0749</t>
  </si>
  <si>
    <t xml:space="preserve">DK0774</t>
  </si>
  <si>
    <t xml:space="preserve">DK0595</t>
  </si>
  <si>
    <t xml:space="preserve">DK0329</t>
  </si>
  <si>
    <t xml:space="preserve">2026-02-16</t>
  </si>
  <si>
    <t xml:space="preserve">DK0185</t>
  </si>
  <si>
    <t xml:space="preserve">DK0135</t>
  </si>
  <si>
    <t xml:space="preserve">DK0775</t>
  </si>
  <si>
    <t xml:space="preserve">DK0257</t>
  </si>
  <si>
    <t xml:space="preserve">DK0958</t>
  </si>
  <si>
    <t xml:space="preserve">DK0426</t>
  </si>
  <si>
    <t xml:space="preserve">2026-02-17</t>
  </si>
  <si>
    <t xml:space="preserve">DK0086</t>
  </si>
  <si>
    <t xml:space="preserve">DK0315</t>
  </si>
  <si>
    <t xml:space="preserve">2026-02-18</t>
  </si>
  <si>
    <t xml:space="preserve">DK0300</t>
  </si>
  <si>
    <t xml:space="preserve">DK0434</t>
  </si>
  <si>
    <t xml:space="preserve">DK0157</t>
  </si>
  <si>
    <t xml:space="preserve">DK0423</t>
  </si>
  <si>
    <t xml:space="preserve">2026-02-19</t>
  </si>
  <si>
    <t xml:space="preserve">DK0370</t>
  </si>
  <si>
    <t xml:space="preserve">DK0903</t>
  </si>
  <si>
    <t xml:space="preserve">DK0045</t>
  </si>
  <si>
    <t xml:space="preserve">DK0575</t>
  </si>
  <si>
    <t xml:space="preserve">2026-02-20</t>
  </si>
  <si>
    <t xml:space="preserve">DK0323</t>
  </si>
  <si>
    <t xml:space="preserve">DK0785</t>
  </si>
  <si>
    <t xml:space="preserve">DK0432</t>
  </si>
  <si>
    <t xml:space="preserve">DK0307</t>
  </si>
  <si>
    <t xml:space="preserve">DK0038</t>
  </si>
  <si>
    <t xml:space="preserve">DK0162</t>
  </si>
  <si>
    <t xml:space="preserve">DK0230</t>
  </si>
  <si>
    <t xml:space="preserve">DK0487</t>
  </si>
  <si>
    <t xml:space="preserve">DK0213</t>
  </si>
  <si>
    <t xml:space="preserve">2026-02-21</t>
  </si>
  <si>
    <t xml:space="preserve">DK0794</t>
  </si>
  <si>
    <t xml:space="preserve">DK0718</t>
  </si>
  <si>
    <t xml:space="preserve">DK0025</t>
  </si>
  <si>
    <t xml:space="preserve">DK0611</t>
  </si>
  <si>
    <t xml:space="preserve">DK0847</t>
  </si>
  <si>
    <t xml:space="preserve">DK0890</t>
  </si>
  <si>
    <t xml:space="preserve">2026-02-22</t>
  </si>
  <si>
    <t xml:space="preserve">DK0398</t>
  </si>
  <si>
    <t xml:space="preserve">DK0255</t>
  </si>
  <si>
    <t xml:space="preserve">DK0355</t>
  </si>
  <si>
    <t xml:space="preserve">DK0850</t>
  </si>
  <si>
    <t xml:space="preserve">DK0645</t>
  </si>
  <si>
    <t xml:space="preserve">2026-02-23</t>
  </si>
  <si>
    <t xml:space="preserve">DK0160</t>
  </si>
  <si>
    <t xml:space="preserve">DK0714</t>
  </si>
  <si>
    <t xml:space="preserve">DK0474</t>
  </si>
  <si>
    <t xml:space="preserve">DK0529</t>
  </si>
  <si>
    <t xml:space="preserve">DK0153</t>
  </si>
  <si>
    <t xml:space="preserve">DK0360</t>
  </si>
  <si>
    <t xml:space="preserve">DK0020</t>
  </si>
  <si>
    <t xml:space="preserve">DK0181</t>
  </si>
  <si>
    <t xml:space="preserve">2026-02-24</t>
  </si>
  <si>
    <t xml:space="preserve">DK0876</t>
  </si>
  <si>
    <t xml:space="preserve">DK0127</t>
  </si>
  <si>
    <t xml:space="preserve">DK0357</t>
  </si>
  <si>
    <t xml:space="preserve">DK0060</t>
  </si>
  <si>
    <t xml:space="preserve">DK0772</t>
  </si>
  <si>
    <t xml:space="preserve">2026-02-25</t>
  </si>
  <si>
    <t xml:space="preserve">DK0737</t>
  </si>
  <si>
    <t xml:space="preserve">DK0577</t>
  </si>
  <si>
    <t xml:space="preserve">DK0665</t>
  </si>
  <si>
    <t xml:space="preserve">2026-02-26</t>
  </si>
  <si>
    <t xml:space="preserve">DK0452</t>
  </si>
  <si>
    <t xml:space="preserve">DK0084</t>
  </si>
  <si>
    <t xml:space="preserve">DK0140</t>
  </si>
  <si>
    <t xml:space="preserve">DK0791</t>
  </si>
  <si>
    <t xml:space="preserve">DK0719</t>
  </si>
  <si>
    <t xml:space="preserve">DK0250</t>
  </si>
  <si>
    <t xml:space="preserve">DK0725</t>
  </si>
  <si>
    <t xml:space="preserve">DK0662</t>
  </si>
  <si>
    <t xml:space="preserve">DK0459</t>
  </si>
  <si>
    <t xml:space="preserve">DK0654</t>
  </si>
  <si>
    <t xml:space="preserve">2026-02-27</t>
  </si>
  <si>
    <t xml:space="preserve">DK0248</t>
  </si>
  <si>
    <t xml:space="preserve">DK0743</t>
  </si>
  <si>
    <t xml:space="preserve">DK0612</t>
  </si>
  <si>
    <t xml:space="preserve">DK0080</t>
  </si>
  <si>
    <t xml:space="preserve">DK0495</t>
  </si>
  <si>
    <t xml:space="preserve">DK0871</t>
  </si>
  <si>
    <t xml:space="preserve">DK0814</t>
  </si>
  <si>
    <t xml:space="preserve">DK0304</t>
  </si>
  <si>
    <t xml:space="preserve">DK0380</t>
  </si>
  <si>
    <t xml:space="preserve">2026-02-28</t>
  </si>
  <si>
    <t xml:space="preserve">DK0220</t>
  </si>
  <si>
    <t xml:space="preserve">DK0950</t>
  </si>
  <si>
    <t xml:space="preserve">DK0558</t>
  </si>
  <si>
    <t xml:space="preserve">2026-03-01</t>
  </si>
  <si>
    <t xml:space="preserve">DK0057</t>
  </si>
  <si>
    <t xml:space="preserve">DK0854</t>
  </si>
  <si>
    <t xml:space="preserve">DK0907</t>
  </si>
  <si>
    <t xml:space="preserve">DK0581</t>
  </si>
  <si>
    <t xml:space="preserve">DK0910</t>
  </si>
  <si>
    <t xml:space="preserve">DK0909</t>
  </si>
  <si>
    <t xml:space="preserve">DK0421</t>
  </si>
  <si>
    <t xml:space="preserve">DK0124</t>
  </si>
  <si>
    <t xml:space="preserve">DK0585</t>
  </si>
  <si>
    <t xml:space="preserve">DK0259</t>
  </si>
  <si>
    <t xml:space="preserve">2026-03-02</t>
  </si>
  <si>
    <t xml:space="preserve">DK0505</t>
  </si>
  <si>
    <t xml:space="preserve">DK0933</t>
  </si>
  <si>
    <t xml:space="preserve">DK0211</t>
  </si>
  <si>
    <t xml:space="preserve">DK0344</t>
  </si>
  <si>
    <t xml:space="preserve">DK0999</t>
  </si>
  <si>
    <t xml:space="preserve">DK0604</t>
  </si>
  <si>
    <t xml:space="preserve">DK0231</t>
  </si>
  <si>
    <t xml:space="preserve">DK0717</t>
  </si>
  <si>
    <t xml:space="preserve">2026-03-03</t>
  </si>
  <si>
    <t xml:space="preserve">DK0224</t>
  </si>
  <si>
    <t xml:space="preserve">DK0036</t>
  </si>
  <si>
    <t xml:space="preserve">DK0715</t>
  </si>
  <si>
    <t xml:space="preserve">DK0819</t>
  </si>
  <si>
    <t xml:space="preserve">DK0278</t>
  </si>
  <si>
    <t xml:space="preserve">2026-03-04</t>
  </si>
  <si>
    <t xml:space="preserve">DK0070</t>
  </si>
  <si>
    <t xml:space="preserve">DK0288</t>
  </si>
  <si>
    <t xml:space="preserve">2026-03-05</t>
  </si>
  <si>
    <t xml:space="preserve">DK0584</t>
  </si>
  <si>
    <t xml:space="preserve">DK0133</t>
  </si>
  <si>
    <t xml:space="preserve">DK0901</t>
  </si>
  <si>
    <t xml:space="preserve">DK0996</t>
  </si>
  <si>
    <t xml:space="preserve">DK0491</t>
  </si>
  <si>
    <t xml:space="preserve">2026-03-06</t>
  </si>
  <si>
    <t xml:space="preserve">DK0997</t>
  </si>
  <si>
    <t xml:space="preserve">DK0010</t>
  </si>
  <si>
    <t xml:space="preserve">DK0400</t>
  </si>
  <si>
    <t xml:space="preserve">DK0246</t>
  </si>
  <si>
    <t xml:space="preserve">DK0514</t>
  </si>
  <si>
    <t xml:space="preserve">DK0136</t>
  </si>
  <si>
    <t xml:space="preserve">DK0839</t>
  </si>
  <si>
    <t xml:space="preserve">DK0105</t>
  </si>
  <si>
    <t xml:space="preserve">DK0217</t>
  </si>
  <si>
    <t xml:space="preserve">2026-03-07</t>
  </si>
  <si>
    <t xml:space="preserve">DK0341</t>
  </si>
  <si>
    <t xml:space="preserve">DK0303</t>
  </si>
  <si>
    <t xml:space="preserve">DK0756</t>
  </si>
  <si>
    <t xml:space="preserve">DK0169</t>
  </si>
  <si>
    <t xml:space="preserve">DK0433</t>
  </si>
  <si>
    <t xml:space="preserve">DK0811</t>
  </si>
  <si>
    <t xml:space="preserve">DK0653</t>
  </si>
  <si>
    <t xml:space="preserve">2026-03-08</t>
  </si>
  <si>
    <t xml:space="preserve">DK0621</t>
  </si>
  <si>
    <t xml:space="preserve">DK0641</t>
  </si>
  <si>
    <t xml:space="preserve">DK0478</t>
  </si>
  <si>
    <t xml:space="preserve">DK0472</t>
  </si>
  <si>
    <t xml:space="preserve">DK0296</t>
  </si>
  <si>
    <t xml:space="preserve">DK0005</t>
  </si>
  <si>
    <t xml:space="preserve">DK0330</t>
  </si>
  <si>
    <t xml:space="preserve">DK0784</t>
  </si>
  <si>
    <t xml:space="preserve">DK0052</t>
  </si>
  <si>
    <t xml:space="preserve">DK0289</t>
  </si>
  <si>
    <t xml:space="preserve">2026-03-09</t>
  </si>
  <si>
    <t xml:space="preserve">DK0104</t>
  </si>
  <si>
    <t xml:space="preserve">DK0008</t>
  </si>
  <si>
    <t xml:space="preserve">DK0742</t>
  </si>
  <si>
    <t xml:space="preserve">DK0141</t>
  </si>
  <si>
    <t xml:space="preserve">2026-03-10</t>
  </si>
  <si>
    <t xml:space="preserve">DK0827</t>
  </si>
  <si>
    <t xml:space="preserve">DK0788</t>
  </si>
  <si>
    <t xml:space="preserve">DK0831</t>
  </si>
  <si>
    <t xml:space="preserve">DK0732</t>
  </si>
  <si>
    <t xml:space="preserve">DK0646</t>
  </si>
  <si>
    <t xml:space="preserve">2026-03-11</t>
  </si>
  <si>
    <t xml:space="preserve">DK0795</t>
  </si>
  <si>
    <t xml:space="preserve">2026-03-12</t>
  </si>
  <si>
    <t xml:space="preserve">DK0747</t>
  </si>
  <si>
    <t xml:space="preserve">DK0681</t>
  </si>
  <si>
    <t xml:space="preserve">DK0729</t>
  </si>
  <si>
    <t xml:space="preserve">DK0616</t>
  </si>
  <si>
    <t xml:space="preserve">DK0479</t>
  </si>
  <si>
    <t xml:space="preserve">2026-03-13</t>
  </si>
  <si>
    <t xml:space="preserve">DK0940</t>
  </si>
  <si>
    <t xml:space="preserve">DK0806</t>
  </si>
  <si>
    <t xml:space="preserve">DK0823</t>
  </si>
  <si>
    <t xml:space="preserve">DK0830</t>
  </si>
  <si>
    <t xml:space="preserve">DK0435</t>
  </si>
  <si>
    <t xml:space="preserve">DK0659</t>
  </si>
  <si>
    <t xml:space="preserve">DK0519</t>
  </si>
  <si>
    <t xml:space="preserve">2026-03-14</t>
  </si>
  <si>
    <t xml:space="preserve">DK0672</t>
  </si>
  <si>
    <t xml:space="preserve">DK0451</t>
  </si>
  <si>
    <t xml:space="preserve">DK0393</t>
  </si>
  <si>
    <t xml:space="preserve">DK0666</t>
  </si>
  <si>
    <t xml:space="preserve">DK0208</t>
  </si>
  <si>
    <t xml:space="preserve">DK0964</t>
  </si>
  <si>
    <t xml:space="preserve">DK0634</t>
  </si>
  <si>
    <t xml:space="preserve">DK0379</t>
  </si>
  <si>
    <t xml:space="preserve">2026-03-15</t>
  </si>
  <si>
    <t xml:space="preserve">DK0081</t>
  </si>
  <si>
    <t xml:space="preserve">DK0661</t>
  </si>
  <si>
    <t xml:space="preserve">DK0415</t>
  </si>
  <si>
    <t xml:space="preserve">DK0942</t>
  </si>
  <si>
    <t xml:space="preserve">DK0083</t>
  </si>
  <si>
    <t xml:space="preserve">2026-03-16</t>
  </si>
  <si>
    <t xml:space="preserve">DK0560</t>
  </si>
  <si>
    <t xml:space="preserve">DK0284</t>
  </si>
  <si>
    <t xml:space="preserve">DK0878</t>
  </si>
  <si>
    <t xml:space="preserve">DK0929</t>
  </si>
  <si>
    <t xml:space="preserve">DK0708</t>
  </si>
  <si>
    <t xml:space="preserve">DK0880</t>
  </si>
  <si>
    <t xml:space="preserve">DK0428</t>
  </si>
  <si>
    <t xml:space="preserve">2026-03-17</t>
  </si>
  <si>
    <t xml:space="preserve">DK0582</t>
  </si>
  <si>
    <t xml:space="preserve">DK0144</t>
  </si>
  <si>
    <t xml:space="preserve">DK0077</t>
  </si>
  <si>
    <t xml:space="preserve">DK0116</t>
  </si>
  <si>
    <t xml:space="preserve">DK0934</t>
  </si>
  <si>
    <t xml:space="preserve">DK0233</t>
  </si>
  <si>
    <t xml:space="preserve">2026-03-18</t>
  </si>
  <si>
    <t xml:space="preserve">DK0450</t>
  </si>
  <si>
    <t xml:space="preserve">DK0237</t>
  </si>
  <si>
    <t xml:space="preserve">DK0561</t>
  </si>
  <si>
    <t xml:space="preserve">DK0106</t>
  </si>
  <si>
    <t xml:space="preserve">DK0316</t>
  </si>
  <si>
    <t xml:space="preserve">DK0044</t>
  </si>
  <si>
    <t xml:space="preserve">2026-03-19</t>
  </si>
  <si>
    <t xml:space="preserve">DK0943</t>
  </si>
  <si>
    <t xml:space="preserve">DK0881</t>
  </si>
  <si>
    <t xml:space="preserve">DK0089</t>
  </si>
  <si>
    <t xml:space="preserve">DK0588</t>
  </si>
  <si>
    <t xml:space="preserve">DK0442</t>
  </si>
  <si>
    <t xml:space="preserve">DK0480</t>
  </si>
  <si>
    <t xml:space="preserve">2026-03-20</t>
  </si>
  <si>
    <t xml:space="preserve">DK0076</t>
  </si>
  <si>
    <t xml:space="preserve">DK0735</t>
  </si>
  <si>
    <t xml:space="preserve">DK0550</t>
  </si>
  <si>
    <t xml:space="preserve">DK0770</t>
  </si>
  <si>
    <t xml:space="preserve">DK0058</t>
  </si>
  <si>
    <t xml:space="preserve">DK0527</t>
  </si>
  <si>
    <t xml:space="preserve">2026-03-21</t>
  </si>
  <si>
    <t xml:space="preserve">DK0829</t>
  </si>
  <si>
    <t xml:space="preserve">DK0324</t>
  </si>
  <si>
    <t xml:space="preserve">DK0683</t>
  </si>
  <si>
    <t xml:space="preserve">DK0771</t>
  </si>
  <si>
    <t xml:space="preserve">DK0526</t>
  </si>
  <si>
    <t xml:space="preserve">DK0869</t>
  </si>
  <si>
    <t xml:space="preserve">2026-03-22</t>
  </si>
  <si>
    <t xml:space="preserve">DK0565</t>
  </si>
  <si>
    <t xml:space="preserve">DK0131</t>
  </si>
  <si>
    <t xml:space="preserve">DK0345</t>
  </si>
  <si>
    <t xml:space="preserve">2026-03-23</t>
  </si>
  <si>
    <t xml:space="preserve">DK0844</t>
  </si>
  <si>
    <t xml:space="preserve">DK0050</t>
  </si>
  <si>
    <t xml:space="preserve">DK0034</t>
  </si>
  <si>
    <t xml:space="preserve">DK0101</t>
  </si>
  <si>
    <t xml:space="preserve">DK0271</t>
  </si>
  <si>
    <t xml:space="preserve">2026-03-24</t>
  </si>
  <si>
    <t xml:space="preserve">DK0253</t>
  </si>
  <si>
    <t xml:space="preserve">DK0035</t>
  </si>
  <si>
    <t xml:space="preserve">2026-03-25</t>
  </si>
  <si>
    <t xml:space="preserve">DK0071</t>
  </si>
  <si>
    <t xml:space="preserve">DK0517</t>
  </si>
  <si>
    <t xml:space="preserve">DK0618</t>
  </si>
  <si>
    <t xml:space="preserve">DK0437</t>
  </si>
  <si>
    <t xml:space="preserve">DK0409</t>
  </si>
  <si>
    <t xml:space="preserve">DK0386</t>
  </si>
  <si>
    <t xml:space="preserve">DK0716</t>
  </si>
  <si>
    <t xml:space="preserve">2026-03-26</t>
  </si>
  <si>
    <t xml:space="preserve">DK0177</t>
  </si>
  <si>
    <t xml:space="preserve">DK0006</t>
  </si>
  <si>
    <t xml:space="preserve">DK0049</t>
  </si>
  <si>
    <t xml:space="preserve">DK0267</t>
  </si>
  <si>
    <t xml:space="preserve">DK0676</t>
  </si>
  <si>
    <t xml:space="preserve">DK0739</t>
  </si>
  <si>
    <t xml:space="preserve">DK0923</t>
  </si>
  <si>
    <t xml:space="preserve">DK0340</t>
  </si>
  <si>
    <t xml:space="preserve">DK0656</t>
  </si>
  <si>
    <t xml:space="preserve">2026-03-27</t>
  </si>
  <si>
    <t xml:space="preserve">DK0093</t>
  </si>
  <si>
    <t xml:space="preserve">DK0766</t>
  </si>
  <si>
    <t xml:space="preserve">DK0258</t>
  </si>
  <si>
    <t xml:space="preserve">DK0110</t>
  </si>
  <si>
    <t xml:space="preserve">DK0229</t>
  </si>
  <si>
    <t xml:space="preserve">DK0603</t>
  </si>
  <si>
    <t xml:space="preserve">DK0884</t>
  </si>
  <si>
    <t xml:space="preserve">DK0203</t>
  </si>
  <si>
    <t xml:space="preserve">DK0583</t>
  </si>
  <si>
    <t xml:space="preserve">DK0373</t>
  </si>
  <si>
    <t xml:space="preserve">2026-03-28</t>
  </si>
  <si>
    <t xml:space="preserve">DK0055</t>
  </si>
  <si>
    <t xml:space="preserve">DK0841</t>
  </si>
  <si>
    <t xml:space="preserve">DK0361</t>
  </si>
  <si>
    <t xml:space="preserve">DK0748</t>
  </si>
  <si>
    <t xml:space="preserve">2026-03-29</t>
  </si>
  <si>
    <t xml:space="preserve">DK0327</t>
  </si>
  <si>
    <t xml:space="preserve">DK0968</t>
  </si>
  <si>
    <t xml:space="preserve">DK0488</t>
  </si>
  <si>
    <t xml:space="preserve">DK0473</t>
  </si>
  <si>
    <t xml:space="preserve">2026-03-30</t>
  </si>
  <si>
    <t xml:space="preserve">DK0470</t>
  </si>
  <si>
    <t xml:space="preserve">DK0627</t>
  </si>
  <si>
    <t xml:space="preserve">DK0174</t>
  </si>
  <si>
    <t xml:space="preserve">DK0166</t>
  </si>
  <si>
    <t xml:space="preserve">DK0888</t>
  </si>
  <si>
    <t xml:space="preserve">2026-03-31</t>
  </si>
  <si>
    <t xml:space="preserve">DK0108</t>
  </si>
  <si>
    <t xml:space="preserve">DK0592</t>
  </si>
  <si>
    <t xml:space="preserve">DK0494</t>
  </si>
  <si>
    <t xml:space="preserve">DK0609</t>
  </si>
  <si>
    <t xml:space="preserve">DK0911</t>
  </si>
  <si>
    <t xml:space="preserve">DK0444</t>
  </si>
  <si>
    <t xml:space="preserve">DK0092</t>
  </si>
  <si>
    <t xml:space="preserve">DK0976</t>
  </si>
  <si>
    <t xml:space="preserve">DK0126</t>
  </si>
  <si>
    <t xml:space="preserve">2026-04-01</t>
  </si>
  <si>
    <t xml:space="preserve">DK0709</t>
  </si>
  <si>
    <t xml:space="preserve">DK0669</t>
  </si>
  <si>
    <t xml:space="preserve">DK0392</t>
  </si>
  <si>
    <t xml:space="preserve">DK0959</t>
  </si>
  <si>
    <t xml:space="preserve">DK0545</t>
  </si>
  <si>
    <t xml:space="preserve">2026-04-02</t>
  </si>
  <si>
    <t xml:space="preserve">DK0524</t>
  </si>
  <si>
    <t xml:space="preserve">DK0598</t>
  </si>
  <si>
    <t xml:space="preserve">2026-04-03</t>
  </si>
  <si>
    <t xml:space="preserve">DK0389</t>
  </si>
  <si>
    <t xml:space="preserve">DK0626</t>
  </si>
  <si>
    <t xml:space="preserve">DK0471</t>
  </si>
  <si>
    <t xml:space="preserve">DK0928</t>
  </si>
  <si>
    <t xml:space="preserve">2026-04-04</t>
  </si>
  <si>
    <t xml:space="preserve">DK0030</t>
  </si>
  <si>
    <t xml:space="preserve">DK0240</t>
  </si>
  <si>
    <t xml:space="preserve">DK0534</t>
  </si>
  <si>
    <t xml:space="preserve">DK0720</t>
  </si>
  <si>
    <t xml:space="preserve">DK0501</t>
  </si>
  <si>
    <t xml:space="preserve">DK0650</t>
  </si>
  <si>
    <t xml:space="preserve">DK0147</t>
  </si>
  <si>
    <t xml:space="preserve">2026-04-05</t>
  </si>
  <si>
    <t xml:space="preserve">DK0122</t>
  </si>
  <si>
    <t xml:space="preserve">DK0578</t>
  </si>
  <si>
    <t xml:space="preserve">DK0453</t>
  </si>
  <si>
    <t xml:space="preserve">DK0764</t>
  </si>
  <si>
    <t xml:space="preserve">2026-04-06</t>
  </si>
  <si>
    <t xml:space="preserve">DK0042</t>
  </si>
  <si>
    <t xml:space="preserve">DK0283</t>
  </si>
  <si>
    <t xml:space="preserve">DK0067</t>
  </si>
  <si>
    <t xml:space="preserve">DK0694</t>
  </si>
  <si>
    <t xml:space="preserve">DK0636</t>
  </si>
  <si>
    <t xml:space="preserve">DK0692</t>
  </si>
  <si>
    <t xml:space="preserve">DK0984</t>
  </si>
  <si>
    <t xml:space="preserve">2026-04-07</t>
  </si>
  <si>
    <t xml:space="preserve">DK0448</t>
  </si>
  <si>
    <t xml:space="preserve">DK0265</t>
  </si>
  <si>
    <t xml:space="preserve">DK0608</t>
  </si>
  <si>
    <t xml:space="preserve">DK0413</t>
  </si>
  <si>
    <t xml:space="preserve">DK0777</t>
  </si>
  <si>
    <t xml:space="preserve">DK0091</t>
  </si>
  <si>
    <t xml:space="preserve">2026-04-08</t>
  </si>
  <si>
    <t xml:space="preserve">DK0983</t>
  </si>
  <si>
    <t xml:space="preserve">DK0194</t>
  </si>
  <si>
    <t xml:space="preserve">2026-04-09</t>
  </si>
  <si>
    <t xml:space="preserve">DK0540</t>
  </si>
  <si>
    <t xml:space="preserve">DK0913</t>
  </si>
  <si>
    <t xml:space="preserve">DK0381</t>
  </si>
  <si>
    <t xml:space="preserve">DK0333</t>
  </si>
  <si>
    <t xml:space="preserve">DK0489</t>
  </si>
  <si>
    <t xml:space="preserve">DK0100</t>
  </si>
  <si>
    <t xml:space="preserve">2026-04-10</t>
  </si>
  <si>
    <t xml:space="preserve">DK0809</t>
  </si>
  <si>
    <t xml:space="preserve">DK0384</t>
  </si>
  <si>
    <t xml:space="preserve">DK0467</t>
  </si>
  <si>
    <t xml:space="preserve">DK0424</t>
  </si>
  <si>
    <t xml:space="preserve">DK0797</t>
  </si>
  <si>
    <t xml:space="preserve">DK0637</t>
  </si>
  <si>
    <t xml:space="preserve">DK0667</t>
  </si>
  <si>
    <t xml:space="preserve">2026-04-11</t>
  </si>
  <si>
    <t xml:space="preserve">DK0805</t>
  </si>
  <si>
    <t xml:space="preserve">DK0322</t>
  </si>
  <si>
    <t xml:space="preserve">DK0175</t>
  </si>
  <si>
    <t xml:space="preserve">DK0458</t>
  </si>
  <si>
    <t xml:space="preserve">DK0721</t>
  </si>
  <si>
    <t xml:space="preserve">DK0883</t>
  </si>
  <si>
    <t xml:space="preserve">DK0236</t>
  </si>
  <si>
    <t xml:space="preserve">DK0225</t>
  </si>
  <si>
    <t xml:space="preserve">2026-04-12</t>
  </si>
  <si>
    <t xml:space="preserve">DK0260</t>
  </si>
  <si>
    <t xml:space="preserve">DK0351</t>
  </si>
  <si>
    <t xml:space="preserve">DK0551</t>
  </si>
  <si>
    <t xml:space="preserve">DK0836</t>
  </si>
  <si>
    <t xml:space="preserve">DK0520</t>
  </si>
  <si>
    <t xml:space="preserve">DK0074</t>
  </si>
  <si>
    <t xml:space="preserve">DK0178</t>
  </si>
  <si>
    <t xml:space="preserve">2026-04-13</t>
  </si>
  <si>
    <t xml:space="preserve">DK0614</t>
  </si>
  <si>
    <t xml:space="preserve">DK0142</t>
  </si>
  <si>
    <t xml:space="preserve">DK0346</t>
  </si>
  <si>
    <t xml:space="preserve">DK0615</t>
  </si>
  <si>
    <t xml:space="preserve">2026-04-14</t>
  </si>
  <si>
    <t xml:space="preserve">DK0695</t>
  </si>
  <si>
    <t xml:space="preserve">DK0337</t>
  </si>
  <si>
    <t xml:space="preserve">DK0924</t>
  </si>
  <si>
    <t xml:space="preserve">DK0731</t>
  </si>
  <si>
    <t xml:space="preserve">DK0840</t>
  </si>
  <si>
    <t xml:space="preserve">DK0179</t>
  </si>
  <si>
    <t xml:space="preserve">DK0468</t>
  </si>
  <si>
    <t xml:space="preserve">DK0779</t>
  </si>
  <si>
    <t xml:space="preserve">DK0335</t>
  </si>
  <si>
    <t xml:space="preserve">2026-04-15</t>
  </si>
  <si>
    <t xml:space="preserve">DK0454</t>
  </si>
  <si>
    <t xml:space="preserve">DK0114</t>
  </si>
  <si>
    <t xml:space="preserve">DK0094</t>
  </si>
  <si>
    <t xml:space="preserve">DK0388</t>
  </si>
  <si>
    <t xml:space="preserve">DK0853</t>
  </si>
  <si>
    <t xml:space="preserve">DK0599</t>
  </si>
  <si>
    <t xml:space="preserve">2026-04-16</t>
  </si>
  <si>
    <t xml:space="preserve">DK0781</t>
  </si>
  <si>
    <t xml:space="preserve">DK0733</t>
  </si>
  <si>
    <t xml:space="preserve">DK0395</t>
  </si>
  <si>
    <t xml:space="preserve">DK0994</t>
  </si>
  <si>
    <t xml:space="preserve">DK0189</t>
  </si>
  <si>
    <t xml:space="preserve">DK0438</t>
  </si>
  <si>
    <t xml:space="preserve">2026-04-17</t>
  </si>
  <si>
    <t xml:space="preserve">DK0306</t>
  </si>
  <si>
    <t xml:space="preserve">DK0697</t>
  </si>
  <si>
    <t xml:space="preserve">DK0917</t>
  </si>
  <si>
    <t xml:space="preserve">2026-04-18</t>
  </si>
  <si>
    <t xml:space="preserve">DK0552</t>
  </si>
  <si>
    <t xml:space="preserve">DK0075</t>
  </si>
  <si>
    <t xml:space="preserve">DK0215</t>
  </si>
  <si>
    <t xml:space="preserve">DK0056</t>
  </si>
  <si>
    <t xml:space="preserve">DK0223</t>
  </si>
  <si>
    <t xml:space="preserve">2026-04-19</t>
  </si>
  <si>
    <t xml:space="preserve">DK0862</t>
  </si>
  <si>
    <t xml:space="preserve">DK0786</t>
  </si>
  <si>
    <t xml:space="preserve">DK0900</t>
  </si>
  <si>
    <t xml:space="preserve">DK0982</t>
  </si>
  <si>
    <t xml:space="preserve">DK0778</t>
  </si>
  <si>
    <t xml:space="preserve">DK0200</t>
  </si>
  <si>
    <t xml:space="preserve">DK0176</t>
  </si>
  <si>
    <t xml:space="preserve">DK0172</t>
  </si>
  <si>
    <t xml:space="preserve">2026-04-20</t>
  </si>
  <si>
    <t xml:space="preserve">DK0027</t>
  </si>
  <si>
    <t xml:space="preserve">DK0481</t>
  </si>
  <si>
    <t xml:space="preserve">DK0282</t>
  </si>
  <si>
    <t xml:space="preserve">DK0068</t>
  </si>
  <si>
    <t xml:space="preserve">DK0214</t>
  </si>
  <si>
    <t xml:space="preserve">DK0281</t>
  </si>
  <si>
    <t xml:space="preserve">DK0800</t>
  </si>
  <si>
    <t xml:space="preserve">DK0143</t>
  </si>
  <si>
    <t xml:space="preserve">DK0555</t>
  </si>
  <si>
    <t xml:space="preserve">2026-04-21</t>
  </si>
  <si>
    <t xml:space="preserve">DK0898</t>
  </si>
  <si>
    <t xml:space="preserve">DK0846</t>
  </si>
  <si>
    <t xml:space="preserve">DK0206</t>
  </si>
  <si>
    <t xml:space="preserve">2026-04-22</t>
  </si>
  <si>
    <t xml:space="preserve">DK0885</t>
  </si>
  <si>
    <t xml:space="preserve">DK0798</t>
  </si>
  <si>
    <t xml:space="preserve">DK0993</t>
  </si>
  <si>
    <t xml:space="preserve">DK0699</t>
  </si>
  <si>
    <t xml:space="preserve">2026-04-23</t>
  </si>
  <si>
    <t xml:space="preserve">DK0773</t>
  </si>
  <si>
    <t xml:space="preserve">DK0102</t>
  </si>
  <si>
    <t xml:space="preserve">DK0297</t>
  </si>
  <si>
    <t xml:space="preserve">DK0152</t>
  </si>
  <si>
    <t xml:space="preserve">DK0443</t>
  </si>
  <si>
    <t xml:space="preserve">DK0510</t>
  </si>
  <si>
    <t xml:space="preserve">DK0218</t>
  </si>
  <si>
    <t xml:space="preserve">2026-04-24</t>
  </si>
  <si>
    <t xml:space="preserve">DK0095</t>
  </si>
  <si>
    <t xml:space="preserve">DK0372</t>
  </si>
  <si>
    <t xml:space="preserve">DK0713</t>
  </si>
  <si>
    <t xml:space="preserve">2026-04-25</t>
  </si>
  <si>
    <t xml:space="preserve">DK0803</t>
  </si>
  <si>
    <t xml:space="preserve">2026-04-26</t>
  </si>
  <si>
    <t xml:space="preserve">DK0004</t>
  </si>
  <si>
    <t xml:space="preserve">DK0629</t>
  </si>
  <si>
    <t xml:space="preserve">DK0937</t>
  </si>
  <si>
    <t xml:space="preserve">DK0190</t>
  </si>
  <si>
    <t xml:space="preserve">DK0790</t>
  </si>
  <si>
    <t xml:space="preserve">DK0026</t>
  </si>
  <si>
    <t xml:space="preserve">DK0446</t>
  </si>
  <si>
    <t xml:space="preserve">DK0977</t>
  </si>
  <si>
    <t xml:space="preserve">2026-04-27</t>
  </si>
  <si>
    <t xml:space="preserve">DK0817</t>
  </si>
  <si>
    <t xml:space="preserve">DK0031</t>
  </si>
  <si>
    <t xml:space="preserve">DK0530</t>
  </si>
  <si>
    <t xml:space="preserve">DK0009</t>
  </si>
  <si>
    <t xml:space="preserve">DK0461</t>
  </si>
  <si>
    <t xml:space="preserve">DK0390</t>
  </si>
  <si>
    <t xml:space="preserve">DK0469</t>
  </si>
  <si>
    <t xml:space="preserve">2026-04-28</t>
  </si>
  <si>
    <t xml:space="preserve">DK0688</t>
  </si>
  <si>
    <t xml:space="preserve">DK0272</t>
  </si>
  <si>
    <t xml:space="preserve">DK0707</t>
  </si>
  <si>
    <t xml:space="preserve">DK0877</t>
  </si>
  <si>
    <t xml:space="preserve">2026-04-29</t>
  </si>
  <si>
    <t xml:space="preserve">DK0411</t>
  </si>
  <si>
    <t xml:space="preserve">DK0018</t>
  </si>
  <si>
    <t xml:space="preserve">DK0033</t>
  </si>
  <si>
    <t xml:space="preserve">DK0760</t>
  </si>
  <si>
    <t xml:space="preserve">DK0222</t>
  </si>
  <si>
    <t xml:space="preserve">DK0404</t>
  </si>
  <si>
    <t xml:space="preserve">DK0295</t>
  </si>
  <si>
    <t xml:space="preserve">2026-04-30</t>
  </si>
  <si>
    <t xml:space="preserve">DK0722</t>
  </si>
  <si>
    <t xml:space="preserve">DK0712</t>
  </si>
  <si>
    <t xml:space="preserve">DK0908</t>
  </si>
  <si>
    <t xml:space="preserve">DK0242</t>
  </si>
  <si>
    <t xml:space="preserve">DK0378</t>
  </si>
  <si>
    <t xml:space="preserve">DK0812</t>
  </si>
  <si>
    <t xml:space="preserve">DK0192</t>
  </si>
  <si>
    <t xml:space="preserve">DK0046</t>
  </si>
  <si>
    <t xml:space="preserve">2026-05-01</t>
  </si>
  <si>
    <t xml:space="preserve">DK0254</t>
  </si>
  <si>
    <t xml:space="preserve">DK0059</t>
  </si>
  <si>
    <t xml:space="preserve">DK0861</t>
  </si>
  <si>
    <t xml:space="preserve">DK0319</t>
  </si>
  <si>
    <t xml:space="preserve">DK0310</t>
  </si>
  <si>
    <t xml:space="preserve">DK0164</t>
  </si>
  <si>
    <t xml:space="preserve">2026-05-02</t>
  </si>
  <si>
    <t xml:space="preserve">DK0944</t>
  </si>
  <si>
    <t xml:space="preserve">DK0947</t>
  </si>
  <si>
    <t xml:space="preserve">DK0226</t>
  </si>
  <si>
    <t xml:space="preserve">DK0815</t>
  </si>
  <si>
    <t xml:space="preserve">2026-05-03</t>
  </si>
  <si>
    <t xml:space="preserve">DK0476</t>
  </si>
  <si>
    <t xml:space="preserve">DK0112</t>
  </si>
  <si>
    <t xml:space="preserve">DK0309</t>
  </si>
  <si>
    <t xml:space="preserve">DK0936</t>
  </si>
  <si>
    <t xml:space="preserve">2026-05-04</t>
  </si>
  <si>
    <t xml:space="preserve">DK0792</t>
  </si>
  <si>
    <t xml:space="preserve">DK0668</t>
  </si>
  <si>
    <t xml:space="preserve">DK0375</t>
  </si>
  <si>
    <t xml:space="preserve">2026-05-05</t>
  </si>
  <si>
    <t xml:space="preserve">DK0828</t>
  </si>
  <si>
    <t xml:space="preserve">DK0649</t>
  </si>
  <si>
    <t xml:space="preserve">DK0347</t>
  </si>
  <si>
    <t xml:space="preserve">DK0280</t>
  </si>
  <si>
    <t xml:space="preserve">DK0082</t>
  </si>
  <si>
    <t xml:space="preserve">2026-05-06</t>
  </si>
  <si>
    <t xml:space="preserve">DK0279</t>
  </si>
  <si>
    <t xml:space="preserve">DK0339</t>
  </si>
  <si>
    <t xml:space="preserve">DK0427</t>
  </si>
  <si>
    <t xml:space="preserve">2026-05-07</t>
  </si>
  <si>
    <t xml:space="preserve">DK0882</t>
  </si>
  <si>
    <t xml:space="preserve">DK0567</t>
  </si>
  <si>
    <t xml:space="preserve">DK0429</t>
  </si>
  <si>
    <t xml:space="preserve">DK0568</t>
  </si>
  <si>
    <t xml:space="preserve">DK0264</t>
  </si>
  <si>
    <t xml:space="preserve">DK0137</t>
  </si>
  <si>
    <t xml:space="preserve">DK0988</t>
  </si>
  <si>
    <t xml:space="preserve">DK0088</t>
  </si>
  <si>
    <t xml:space="preserve">DK0013</t>
  </si>
  <si>
    <t xml:space="preserve">2026-05-08</t>
  </si>
  <si>
    <t xml:space="preserve">DK0579</t>
  </si>
  <si>
    <t xml:space="preserve">DK0273</t>
  </si>
  <si>
    <t xml:space="preserve">DK0648</t>
  </si>
  <si>
    <t xml:space="preserve">DK0799</t>
  </si>
  <si>
    <t xml:space="preserve">DK0670</t>
  </si>
  <si>
    <t xml:space="preserve">2026-05-09</t>
  </si>
  <si>
    <t xml:space="preserve">DK0600</t>
  </si>
  <si>
    <t xml:space="preserve">DK0921</t>
  </si>
  <si>
    <t xml:space="preserve">DK0274</t>
  </si>
  <si>
    <t xml:space="preserve">2026-05-10</t>
  </si>
  <si>
    <t xml:space="preserve">DK0362</t>
  </si>
  <si>
    <t xml:space="preserve">DK0477</t>
  </si>
  <si>
    <t xml:space="preserve">DK0403</t>
  </si>
  <si>
    <t xml:space="preserve">2026-05-11</t>
  </si>
  <si>
    <t xml:space="preserve">DK0364</t>
  </si>
  <si>
    <t xml:space="preserve">DK0015</t>
  </si>
  <si>
    <t xml:space="preserve">DK0855</t>
  </si>
  <si>
    <t xml:space="preserve">DK0369</t>
  </si>
  <si>
    <t xml:space="preserve">DK0816</t>
  </si>
  <si>
    <t xml:space="preserve">DK0125</t>
  </si>
  <si>
    <t xml:space="preserve">2026-05-12</t>
  </si>
  <si>
    <t xml:space="preserve">DK0023</t>
  </si>
  <si>
    <t xml:space="preserve">DK0704</t>
  </si>
  <si>
    <t xml:space="preserve">DK0863</t>
  </si>
  <si>
    <t xml:space="preserve">DK0655</t>
  </si>
  <si>
    <t xml:space="preserve">DK0916</t>
  </si>
  <si>
    <t xml:space="preserve">2026-05-13</t>
  </si>
  <si>
    <t xml:space="preserve">DK0138</t>
  </si>
  <si>
    <t xml:space="preserve">DK0607</t>
  </si>
  <si>
    <t xml:space="preserve">DK0098</t>
  </si>
  <si>
    <t xml:space="preserve">DK0201</t>
  </si>
  <si>
    <t xml:space="preserve">DK0139</t>
  </si>
  <si>
    <t xml:space="preserve">2026-05-14</t>
  </si>
  <si>
    <t xml:space="preserve">DK0548</t>
  </si>
  <si>
    <t xml:space="preserve">DK0643</t>
  </si>
  <si>
    <t xml:space="preserve">DK0820</t>
  </si>
  <si>
    <t xml:space="preserve">DK0512</t>
  </si>
  <si>
    <t xml:space="preserve">DK0374</t>
  </si>
  <si>
    <t xml:space="preserve">DK0690</t>
  </si>
  <si>
    <t xml:space="preserve">2026-05-15</t>
  </si>
  <si>
    <t xml:space="preserve">DK0602</t>
  </si>
  <si>
    <t xml:space="preserve">DK0574</t>
  </si>
  <si>
    <t xml:space="preserve">DK0245</t>
  </si>
  <si>
    <t xml:space="preserve">DK0266</t>
  </si>
  <si>
    <t xml:space="preserve">DK0408</t>
  </si>
  <si>
    <t xml:space="preserve">DK0387</t>
  </si>
  <si>
    <t xml:space="preserve">DK0107</t>
  </si>
  <si>
    <t xml:space="preserve">DK0590</t>
  </si>
  <si>
    <t xml:space="preserve">2026-05-16</t>
  </si>
  <si>
    <t xml:space="preserve">DK0652</t>
  </si>
  <si>
    <t xml:space="preserve">DK0475</t>
  </si>
  <si>
    <t xml:space="preserve">DK0889</t>
  </si>
  <si>
    <t xml:space="preserve">2026-05-17</t>
  </si>
  <si>
    <t xml:space="preserve">DK0123</t>
  </si>
  <si>
    <t xml:space="preserve">DK0562</t>
  </si>
  <si>
    <t xml:space="preserve">DK0894</t>
  </si>
  <si>
    <t xml:space="preserve">DK0028</t>
  </si>
  <si>
    <t xml:space="preserve">DK0320</t>
  </si>
  <si>
    <t xml:space="preserve">2026-05-18</t>
  </si>
  <si>
    <t xml:space="preserve">DK0782</t>
  </si>
  <si>
    <t xml:space="preserve">DK0986</t>
  </si>
  <si>
    <t xml:space="preserve">DK0834</t>
  </si>
  <si>
    <t xml:space="preserve">DK0895</t>
  </si>
  <si>
    <t xml:space="preserve">2026-05-19</t>
  </si>
  <si>
    <t xml:space="preserve">DK0701</t>
  </si>
  <si>
    <t xml:space="preserve">DK0210</t>
  </si>
  <si>
    <t xml:space="preserve">DK0299</t>
  </si>
  <si>
    <t xml:space="preserve">DK0199</t>
  </si>
  <si>
    <t xml:space="preserve">DK0410</t>
  </si>
  <si>
    <t xml:space="preserve">2026-05-20</t>
  </si>
  <si>
    <t xml:space="preserve">DK0412</t>
  </si>
  <si>
    <t xml:space="preserve">DK0951</t>
  </si>
  <si>
    <t xml:space="preserve">DK0547</t>
  </si>
  <si>
    <t xml:space="preserve">DK0726</t>
  </si>
  <si>
    <t xml:space="preserve">2026-05-21</t>
  </si>
  <si>
    <t xml:space="preserve">DK0146</t>
  </si>
  <si>
    <t xml:space="preserve">DK0533</t>
  </si>
  <si>
    <t xml:space="preserve">DK0482</t>
  </si>
  <si>
    <t xml:space="preserve">DK0580</t>
  </si>
  <si>
    <t xml:space="preserve">DK0402</t>
  </si>
  <si>
    <t xml:space="preserve">DK0247</t>
  </si>
  <si>
    <t xml:space="preserve">DK0693</t>
  </si>
  <si>
    <t xml:space="preserve">DK0328</t>
  </si>
  <si>
    <t xml:space="preserve">2026-05-22</t>
  </si>
  <si>
    <t xml:space="preserve">DK0700</t>
  </si>
  <si>
    <t xml:space="preserve">DK0728</t>
  </si>
  <si>
    <t xml:space="preserve">DK0691</t>
  </si>
  <si>
    <t xml:space="preserve">DK0874</t>
  </si>
  <si>
    <t xml:space="preserve">2026-05-23</t>
  </si>
  <si>
    <t xml:space="preserve">DK0195</t>
  </si>
  <si>
    <t xml:space="preserve">DK0314</t>
  </si>
  <si>
    <t xml:space="preserve">DK0703</t>
  </si>
  <si>
    <t xml:space="preserve">DK0439</t>
  </si>
  <si>
    <t xml:space="preserve">DK0205</t>
  </si>
  <si>
    <t xml:space="preserve">DK0188</t>
  </si>
  <si>
    <t xml:space="preserve">DK0635</t>
  </si>
  <si>
    <t xml:space="preserve">DK0945</t>
  </si>
  <si>
    <t xml:space="preserve">DK0528</t>
  </si>
  <si>
    <t xml:space="preserve">DK0012</t>
  </si>
  <si>
    <t xml:space="preserve">2026-05-24</t>
  </si>
  <si>
    <t xml:space="preserve">DK0073</t>
  </si>
  <si>
    <t xml:space="preserve">DK0120</t>
  </si>
  <si>
    <t xml:space="preserve">DK0992</t>
  </si>
  <si>
    <t xml:space="preserve">DK0117</t>
  </si>
  <si>
    <t xml:space="preserve">2026-05-25</t>
  </si>
  <si>
    <t xml:space="preserve">DK0066</t>
  </si>
  <si>
    <t xml:space="preserve">DK0113</t>
  </si>
  <si>
    <t xml:space="preserve">DK0573</t>
  </si>
  <si>
    <t xml:space="preserve">2026-05-26</t>
  </si>
  <si>
    <t xml:space="preserve">DK0591</t>
  </si>
  <si>
    <t xml:space="preserve">DK0848</t>
  </si>
  <si>
    <t xml:space="preserve">DK0663</t>
  </si>
  <si>
    <t xml:space="preserve">DK0531</t>
  </si>
  <si>
    <t xml:space="preserve">2026-05-27</t>
  </si>
  <si>
    <t xml:space="preserve">DK0925</t>
  </si>
  <si>
    <t xml:space="preserve">DK0358</t>
  </si>
  <si>
    <t xml:space="preserve">DK0371</t>
  </si>
  <si>
    <t xml:space="preserve">DK0757</t>
  </si>
  <si>
    <t xml:space="preserve">DK0685</t>
  </si>
  <si>
    <t xml:space="preserve">DK0660</t>
  </si>
  <si>
    <t xml:space="preserve">2026-05-28</t>
  </si>
  <si>
    <t xml:space="preserve">DK0886</t>
  </si>
  <si>
    <t xml:space="preserve">DK0202</t>
  </si>
  <si>
    <t xml:space="preserve">DK0969</t>
  </si>
  <si>
    <t xml:space="preserve">DK0256</t>
  </si>
  <si>
    <t xml:space="preserve">2026-05-29</t>
  </si>
  <si>
    <t xml:space="preserve">DK0227</t>
  </si>
  <si>
    <t xml:space="preserve">DK0465</t>
  </si>
  <si>
    <t xml:space="preserve">DK0990</t>
  </si>
  <si>
    <t xml:space="preserve">2026-05-30</t>
  </si>
  <si>
    <t xml:space="preserve">DK0954</t>
  </si>
  <si>
    <t xml:space="preserve">DK0845</t>
  </si>
  <si>
    <t xml:space="preserve">DK0644</t>
  </si>
  <si>
    <t xml:space="preserve">DK0032</t>
  </si>
  <si>
    <t xml:space="preserve">DK0952</t>
  </si>
  <si>
    <t xml:space="preserve">DK0674</t>
  </si>
  <si>
    <t xml:space="preserve">DK0671</t>
  </si>
  <si>
    <t xml:space="preserve">DK0011</t>
  </si>
  <si>
    <t xml:space="preserve">2026-05-31</t>
  </si>
  <si>
    <t xml:space="preserve">DK0047</t>
  </si>
  <si>
    <t xml:space="preserve">DK0796</t>
  </si>
  <si>
    <t xml:space="preserve">DK0727</t>
  </si>
  <si>
    <t xml:space="preserve">2026-06-01</t>
  </si>
  <si>
    <t xml:space="preserve">DK0746</t>
  </si>
  <si>
    <t xml:space="preserve">DK0978</t>
  </si>
  <si>
    <t xml:space="preserve">DK0497</t>
  </si>
  <si>
    <t xml:space="preserve">DK0642</t>
  </si>
  <si>
    <t xml:space="preserve">2026-06-02</t>
  </si>
  <si>
    <t xml:space="preserve">DK0960</t>
  </si>
  <si>
    <t xml:space="preserve">DK0922</t>
  </si>
  <si>
    <t xml:space="preserve">DK0624</t>
  </si>
  <si>
    <t xml:space="preserve">DK0276</t>
  </si>
  <si>
    <t xml:space="preserve">DK0677</t>
  </si>
  <si>
    <t xml:space="preserve">2026-06-03</t>
  </si>
  <si>
    <t xml:space="preserve">DK0171</t>
  </si>
  <si>
    <t xml:space="preserve">DK0673</t>
  </si>
  <si>
    <t xml:space="preserve">DK0759</t>
  </si>
  <si>
    <t xml:space="preserve">DK0401</t>
  </si>
  <si>
    <t xml:space="preserve">DK0366</t>
  </si>
  <si>
    <t xml:space="preserve">DK0041</t>
  </si>
  <si>
    <t xml:space="preserve">2026-06-04</t>
  </si>
  <si>
    <t xml:space="preserve">DK0001</t>
  </si>
  <si>
    <t xml:space="preserve">DK0109</t>
  </si>
  <si>
    <t xml:space="preserve">DK0397</t>
  </si>
  <si>
    <t xml:space="preserve">DK0354</t>
  </si>
  <si>
    <t xml:space="preserve">DK0523</t>
  </si>
  <si>
    <t xml:space="preserve">2026-06-05</t>
  </si>
  <si>
    <t xml:space="preserve">DK0623</t>
  </si>
  <si>
    <t xml:space="preserve">DK0630</t>
  </si>
  <si>
    <t xml:space="preserve">DK0017</t>
  </si>
  <si>
    <t xml:space="preserve">DK0249</t>
  </si>
  <si>
    <t xml:space="preserve">DK0216</t>
  </si>
  <si>
    <t xml:space="preserve">DK0931</t>
  </si>
  <si>
    <t xml:space="preserve">2026-06-06</t>
  </si>
  <si>
    <t xml:space="preserve">DK0417</t>
  </si>
  <si>
    <t xml:space="preserve">DK0353</t>
  </si>
  <si>
    <t xml:space="preserve">DK0321</t>
  </si>
  <si>
    <t xml:space="preserve">DK0821</t>
  </si>
  <si>
    <t xml:space="preserve">DK0485</t>
  </si>
  <si>
    <t xml:space="preserve">DK0891</t>
  </si>
  <si>
    <t xml:space="preserve">DK0466</t>
  </si>
  <si>
    <t xml:space="preserve">DK0957</t>
  </si>
  <si>
    <t xml:space="preserve">2026-06-07</t>
  </si>
  <si>
    <t xml:space="preserve">DK0824</t>
  </si>
  <si>
    <t xml:space="preserve">DK0605</t>
  </si>
  <si>
    <t xml:space="preserve">DK0919</t>
  </si>
  <si>
    <t xml:space="preserve">DK0734</t>
  </si>
  <si>
    <t xml:space="preserve">2026-06-08</t>
  </si>
  <si>
    <t xml:space="preserve">DK0948</t>
  </si>
  <si>
    <t xml:space="preserve">DK0905</t>
  </si>
  <si>
    <t xml:space="preserve">DK0407</t>
  </si>
  <si>
    <t xml:space="preserve">DK0121</t>
  </si>
  <si>
    <t xml:space="preserve">DK0538</t>
  </si>
  <si>
    <t xml:space="preserve">DK0064</t>
  </si>
  <si>
    <t xml:space="preserve">DK0244</t>
  </si>
  <si>
    <t xml:space="preserve">2026-06-09</t>
  </si>
  <si>
    <t xml:space="preserve">DK0664</t>
  </si>
  <si>
    <t xml:space="preserve">DK0801</t>
  </si>
  <si>
    <t xml:space="preserve">DK0860</t>
  </si>
  <si>
    <t xml:space="preserve">DK0420</t>
  </si>
  <si>
    <t xml:space="preserve">DK0941</t>
  </si>
  <si>
    <t xml:space="preserve">DK0741</t>
  </si>
  <si>
    <t xml:space="preserve">DK0572</t>
  </si>
  <si>
    <t xml:space="preserve">DK0537</t>
  </si>
  <si>
    <t xml:space="preserve">2026-06-10</t>
  </si>
  <si>
    <t xml:space="preserve">DK0268</t>
  </si>
  <si>
    <t xml:space="preserve">DK0628</t>
  </si>
  <si>
    <t xml:space="preserve">DK0511</t>
  </si>
  <si>
    <t xml:space="preserve">DK0849</t>
  </si>
  <si>
    <t xml:space="preserve">DK0570</t>
  </si>
  <si>
    <t xml:space="preserve">DK0150</t>
  </si>
  <si>
    <t xml:space="preserve">DK0460</t>
  </si>
  <si>
    <t xml:space="preserve">DK0956</t>
  </si>
  <si>
    <t xml:space="preserve">DK0658</t>
  </si>
  <si>
    <t xml:space="preserve">2026-06-11</t>
  </si>
  <si>
    <t xml:space="preserve">DK0949</t>
  </si>
  <si>
    <t xml:space="preserve">DK0754</t>
  </si>
  <si>
    <t xml:space="preserve">DK0180</t>
  </si>
  <si>
    <t xml:space="preserve">DK0563</t>
  </si>
  <si>
    <t xml:space="preserve">2026-06-12</t>
  </si>
  <si>
    <t xml:space="preserve">DK0914</t>
  </si>
  <si>
    <t xml:space="preserve">DK0078</t>
  </si>
  <si>
    <t xml:space="preserve">DK0418</t>
  </si>
  <si>
    <t xml:space="preserve">DK0682</t>
  </si>
  <si>
    <t xml:space="preserve">DK0449</t>
  </si>
  <si>
    <t xml:space="preserve">DK0787</t>
  </si>
  <si>
    <t xml:space="preserve">2026-06-13</t>
  </si>
  <si>
    <t xml:space="preserve">DK0130</t>
  </si>
  <si>
    <t xml:space="preserve">DK0617</t>
  </si>
  <si>
    <t xml:space="preserve">DK0873</t>
  </si>
  <si>
    <t xml:space="preserve">DK0014</t>
  </si>
  <si>
    <t xml:space="preserve">DK0394</t>
  </si>
  <si>
    <t xml:space="preserve">DK0826</t>
  </si>
  <si>
    <t xml:space="preserve">2026-06-14</t>
  </si>
  <si>
    <t xml:space="preserve">DK0833</t>
  </si>
  <si>
    <t xml:space="preserve">DK0586</t>
  </si>
  <si>
    <t xml:space="preserve">DK0684</t>
  </si>
  <si>
    <t xml:space="preserve">DK0987</t>
  </si>
  <si>
    <t xml:space="preserve">2026-06-15</t>
  </si>
  <si>
    <t xml:space="preserve">DK0302</t>
  </si>
  <si>
    <t xml:space="preserve">DK0277</t>
  </si>
  <si>
    <t xml:space="preserve">DK0508</t>
  </si>
  <si>
    <t xml:space="preserve">DK0359</t>
  </si>
  <si>
    <t xml:space="preserve">2026-06-16</t>
  </si>
  <si>
    <t xml:space="preserve">DK0196</t>
  </si>
  <si>
    <t xml:space="preserve">DK0024</t>
  </si>
  <si>
    <t xml:space="preserve">DK0751</t>
  </si>
  <si>
    <t xml:space="preserve">DK0807</t>
  </si>
  <si>
    <t xml:space="preserve">DK0851</t>
  </si>
  <si>
    <t xml:space="preserve">DK0182</t>
  </si>
  <si>
    <t xml:space="preserve">DK0436</t>
  </si>
  <si>
    <t xml:space="preserve">DK0559</t>
  </si>
  <si>
    <t xml:space="preserve">2026-06-17</t>
  </si>
  <si>
    <t xml:space="preserve">DK0263</t>
  </si>
  <si>
    <t xml:space="preserve">DK0955</t>
  </si>
  <si>
    <t xml:space="preserve">DK0447</t>
  </si>
  <si>
    <t xml:space="preserve">DK0235</t>
  </si>
  <si>
    <t xml:space="preserve">DK0835</t>
  </si>
  <si>
    <t xml:space="preserve">DK0926</t>
  </si>
  <si>
    <t xml:space="preserve">2026-06-18</t>
  </si>
  <si>
    <t xml:space="preserve">DK0858</t>
  </si>
  <si>
    <t xml:space="preserve">DK0601</t>
  </si>
  <si>
    <t xml:space="preserve">DK0868</t>
  </si>
  <si>
    <t xml:space="preserve">DK0173</t>
  </si>
  <si>
    <t xml:space="preserve">DK0776</t>
  </si>
  <si>
    <t xml:space="preserve">DK0063</t>
  </si>
  <si>
    <t xml:space="preserve">2026-06-19</t>
  </si>
  <si>
    <t xml:space="preserve">DK0239</t>
  </si>
  <si>
    <t xml:space="preserve">DK0115</t>
  </si>
  <si>
    <t xml:space="preserve">DK0516</t>
  </si>
  <si>
    <t xml:space="preserve">DK0680</t>
  </si>
  <si>
    <t xml:space="preserve">DK0557</t>
  </si>
  <si>
    <t xml:space="preserve">DK0544</t>
  </si>
  <si>
    <t xml:space="preserve">DK0350</t>
  </si>
  <si>
    <t xml:space="preserve">DK0275</t>
  </si>
  <si>
    <t xml:space="preserve">2026-06-20</t>
  </si>
  <si>
    <t xml:space="preserve">DK0730</t>
  </si>
  <si>
    <t xml:space="preserve">DK0679</t>
  </si>
  <si>
    <t xml:space="preserve">DK0186</t>
  </si>
  <si>
    <t xml:space="preserve">DK0156</t>
  </si>
  <si>
    <t xml:space="preserve">2026-06-21</t>
  </si>
  <si>
    <t xml:space="preserve">DK0149</t>
  </si>
  <si>
    <t xml:space="preserve">DK0484</t>
  </si>
  <si>
    <t xml:space="preserve">DK0219</t>
  </si>
  <si>
    <t xml:space="preserve">DK0072</t>
  </si>
  <si>
    <t xml:space="preserve">DK0745</t>
  </si>
  <si>
    <t xml:space="preserve">DK0151</t>
  </si>
  <si>
    <t xml:space="preserve">2026-06-23</t>
  </si>
  <si>
    <t xml:space="preserve">DK0348</t>
  </si>
  <si>
    <t xml:space="preserve">DK0972</t>
  </si>
  <si>
    <t xml:space="preserve">DK0765</t>
  </si>
  <si>
    <t xml:space="preserve">DK0678</t>
  </si>
  <si>
    <t xml:space="preserve">DK0148</t>
  </si>
  <si>
    <t xml:space="preserve">DK0262</t>
  </si>
  <si>
    <t xml:space="preserve">DK0065</t>
  </si>
  <si>
    <t xml:space="preserve">DK0837</t>
  </si>
  <si>
    <t xml:space="preserve">DK0647</t>
  </si>
  <si>
    <t xml:space="preserve">DK0290</t>
  </si>
  <si>
    <t xml:space="preserve">2026-06-24</t>
  </si>
  <si>
    <t xml:space="preserve">DK0750</t>
  </si>
  <si>
    <t xml:space="preserve">DK0061</t>
  </si>
  <si>
    <t xml:space="preserve">DK0973</t>
  </si>
  <si>
    <t xml:space="preserve">DK0334</t>
  </si>
  <si>
    <t xml:space="preserve">DK0625</t>
  </si>
  <si>
    <t xml:space="preserve">DK0902</t>
  </si>
  <si>
    <t xml:space="preserve">DK0022</t>
  </si>
  <si>
    <t xml:space="preserve">2026-06-25</t>
  </si>
  <si>
    <t xml:space="preserve">DK0518</t>
  </si>
  <si>
    <t xml:space="preserve">2026-06-26</t>
  </si>
  <si>
    <t xml:space="preserve">DK0099</t>
  </si>
  <si>
    <t xml:space="preserve">DK0675</t>
  </si>
  <si>
    <t xml:space="preserve">DK0456</t>
  </si>
  <si>
    <t xml:space="preserve">DK0368</t>
  </si>
  <si>
    <t xml:space="preserve">2026-06-27</t>
  </si>
  <si>
    <t xml:space="preserve">DK0571</t>
  </si>
  <si>
    <t xml:space="preserve">DK0383</t>
  </si>
  <si>
    <t xml:space="preserve">DK0161</t>
  </si>
  <si>
    <t xml:space="preserve">DK0989</t>
  </si>
  <si>
    <t xml:space="preserve">2026-06-28</t>
  </si>
  <si>
    <t xml:space="preserve">DK0576</t>
  </si>
  <si>
    <t xml:space="preserve">DK0522</t>
  </si>
  <si>
    <t xml:space="preserve">DK0967</t>
  </si>
  <si>
    <t xml:space="preserve">DK0241</t>
  </si>
  <si>
    <t xml:space="preserve">DK0502</t>
  </si>
  <si>
    <t xml:space="preserve">2026-06-29</t>
  </si>
  <si>
    <t xml:space="preserve">DK0738</t>
  </si>
  <si>
    <t xml:space="preserve">DK0897</t>
  </si>
  <si>
    <t xml:space="preserve">DK0243</t>
  </si>
  <si>
    <t xml:space="preserve">DK0486</t>
  </si>
  <si>
    <t xml:space="preserve">DK0051</t>
  </si>
  <si>
    <t xml:space="preserve">DK0915</t>
  </si>
  <si>
    <t xml:space="preserve">DK0132</t>
  </si>
  <si>
    <t xml:space="preserve">DK0197</t>
  </si>
  <si>
    <t xml:space="preserve">DK0399</t>
  </si>
  <si>
    <t xml:space="preserve">2026-06-30</t>
  </si>
  <si>
    <t xml:space="preserve">DK0546</t>
  </si>
  <si>
    <t xml:space="preserve">Capital</t>
  </si>
  <si>
    <t xml:space="preserve">Coast</t>
  </si>
  <si>
    <t xml:space="preserve">Western</t>
  </si>
  <si>
    <t xml:space="preserve">Rift Valley</t>
  </si>
  <si>
    <t xml:space="preserve">Revenue (KES) by branch and channel</t>
  </si>
  <si>
    <t xml:space="preserve">Filter</t>
  </si>
  <si>
    <t xml:space="preserve">Sum - revenue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</si>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</sst>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1:H1001" sheet="Data"/>
  </cacheSource>
  <cacheFields count="8">
    <cacheField name="order_id" numFmtId="0">
      <sharedItems count="1000">
        <s v="DK0001"/>
        <s v="DK0002"/>
        <s v="DK0003"/>
        <s v="DK0004"/>
        <s v="DK0005"/>
        <s v="DK0006"/>
        <s v="DK0007"/>
        <s v="DK0008"/>
        <s v="DK0009"/>
        <s v="DK0010"/>
        <s v="DK0011"/>
        <s v="DK0012"/>
        <s v="DK0013"/>
        <s v="DK0014"/>
        <s v="DK0015"/>
        <s v="DK0016"/>
        <s v="DK0017"/>
        <s v="DK0018"/>
        <s v="DK0019"/>
        <s v="DK0020"/>
        <s v="DK0021"/>
        <s v="DK0022"/>
        <s v="DK0023"/>
        <s v="DK0024"/>
        <s v="DK0025"/>
        <s v="DK0026"/>
        <s v="DK0027"/>
        <s v="DK0028"/>
        <s v="DK0029"/>
        <s v="DK0030"/>
        <s v="DK0031"/>
        <s v="DK0032"/>
        <s v="DK0033"/>
        <s v="DK0034"/>
        <s v="DK0035"/>
        <s v="DK0036"/>
        <s v="DK0037"/>
        <s v="DK0038"/>
        <s v="DK0039"/>
        <s v="DK0040"/>
        <s v="DK0041"/>
        <s v="DK0042"/>
        <s v="DK0043"/>
        <s v="DK0044"/>
        <s v="DK0045"/>
        <s v="DK0046"/>
        <s v="DK0047"/>
        <s v="DK0048"/>
        <s v="DK0049"/>
        <s v="DK0050"/>
        <s v="DK0051"/>
        <s v="DK0052"/>
        <s v="DK0053"/>
        <s v="DK0054"/>
        <s v="DK0055"/>
        <s v="DK0056"/>
        <s v="DK0057"/>
        <s v="DK0058"/>
        <s v="DK0059"/>
        <s v="DK0060"/>
        <s v="DK0061"/>
        <s v="DK0062"/>
        <s v="DK0063"/>
        <s v="DK0064"/>
        <s v="DK0065"/>
        <s v="DK0066"/>
        <s v="DK0067"/>
        <s v="DK0068"/>
        <s v="DK0069"/>
        <s v="DK0070"/>
        <s v="DK0071"/>
        <s v="DK0072"/>
        <s v="DK0073"/>
        <s v="DK0074"/>
        <s v="DK0075"/>
        <s v="DK0076"/>
        <s v="DK0077"/>
        <s v="DK0078"/>
        <s v="DK0079"/>
        <s v="DK0080"/>
        <s v="DK0081"/>
        <s v="DK0082"/>
        <s v="DK0083"/>
        <s v="DK0084"/>
        <s v="DK0085"/>
        <s v="DK0086"/>
        <s v="DK0087"/>
        <s v="DK0088"/>
        <s v="DK0089"/>
        <s v="DK0090"/>
        <s v="DK0091"/>
        <s v="DK0092"/>
        <s v="DK0093"/>
        <s v="DK0094"/>
        <s v="DK0095"/>
        <s v="DK0096"/>
        <s v="DK0097"/>
        <s v="DK0098"/>
        <s v="DK0099"/>
        <s v="DK0100"/>
        <s v="DK0101"/>
        <s v="DK0102"/>
        <s v="DK0103"/>
        <s v="DK0104"/>
        <s v="DK0105"/>
        <s v="DK0106"/>
        <s v="DK0107"/>
        <s v="DK0108"/>
        <s v="DK0109"/>
        <s v="DK0110"/>
        <s v="DK0111"/>
        <s v="DK0112"/>
        <s v="DK0113"/>
        <s v="DK0114"/>
        <s v="DK0115"/>
        <s v="DK0116"/>
        <s v="DK0117"/>
        <s v="DK0118"/>
        <s v="DK0119"/>
        <s v="DK0120"/>
        <s v="DK0121"/>
        <s v="DK0122"/>
        <s v="DK0123"/>
        <s v="DK0124"/>
        <s v="DK0125"/>
        <s v="DK0126"/>
        <s v="DK0127"/>
        <s v="DK0128"/>
        <s v="DK0129"/>
        <s v="DK0130"/>
        <s v="DK0131"/>
        <s v="DK0132"/>
        <s v="DK0133"/>
        <s v="DK0134"/>
        <s v="DK0135"/>
        <s v="DK0136"/>
        <s v="DK0137"/>
        <s v="DK0138"/>
        <s v="DK0139"/>
        <s v="DK0140"/>
        <s v="DK0141"/>
        <s v="DK0142"/>
        <s v="DK0143"/>
        <s v="DK0144"/>
        <s v="DK0145"/>
        <s v="DK0146"/>
        <s v="DK0147"/>
        <s v="DK0148"/>
        <s v="DK0149"/>
        <s v="DK0150"/>
        <s v="DK0151"/>
        <s v="DK0152"/>
        <s v="DK0153"/>
        <s v="DK0154"/>
        <s v="DK0155"/>
        <s v="DK0156"/>
        <s v="DK0157"/>
        <s v="DK0158"/>
        <s v="DK0159"/>
        <s v="DK0160"/>
        <s v="DK0161"/>
        <s v="DK0162"/>
        <s v="DK0163"/>
        <s v="DK0164"/>
        <s v="DK0165"/>
        <s v="DK0166"/>
        <s v="DK0167"/>
        <s v="DK0168"/>
        <s v="DK0169"/>
        <s v="DK0170"/>
        <s v="DK0171"/>
        <s v="DK0172"/>
        <s v="DK0173"/>
        <s v="DK0174"/>
        <s v="DK0175"/>
        <s v="DK0176"/>
        <s v="DK0177"/>
        <s v="DK0178"/>
        <s v="DK0179"/>
        <s v="DK0180"/>
        <s v="DK0181"/>
        <s v="DK0182"/>
        <s v="DK0183"/>
        <s v="DK0184"/>
        <s v="DK0185"/>
        <s v="DK0186"/>
        <s v="DK0187"/>
        <s v="DK0188"/>
        <s v="DK0189"/>
        <s v="DK0190"/>
        <s v="DK0191"/>
        <s v="DK0192"/>
        <s v="DK0193"/>
        <s v="DK0194"/>
        <s v="DK0195"/>
        <s v="DK0196"/>
        <s v="DK0197"/>
        <s v="DK0198"/>
        <s v="DK0199"/>
        <s v="DK0200"/>
        <s v="DK0201"/>
        <s v="DK0202"/>
        <s v="DK0203"/>
        <s v="DK0204"/>
        <s v="DK0205"/>
        <s v="DK0206"/>
        <s v="DK0207"/>
        <s v="DK0208"/>
        <s v="DK0209"/>
        <s v="DK0210"/>
        <s v="DK0211"/>
        <s v="DK0212"/>
        <s v="DK0213"/>
        <s v="DK0214"/>
        <s v="DK0215"/>
        <s v="DK0216"/>
        <s v="DK0217"/>
        <s v="DK0218"/>
        <s v="DK0219"/>
        <s v="DK0220"/>
        <s v="DK0221"/>
        <s v="DK0222"/>
        <s v="DK0223"/>
        <s v="DK0224"/>
        <s v="DK0225"/>
        <s v="DK0226"/>
        <s v="DK0227"/>
        <s v="DK0228"/>
        <s v="DK0229"/>
        <s v="DK0230"/>
        <s v="DK0231"/>
        <s v="DK0232"/>
        <s v="DK0233"/>
        <s v="DK0234"/>
        <s v="DK0235"/>
        <s v="DK0236"/>
        <s v="DK0237"/>
        <s v="DK0238"/>
        <s v="DK0239"/>
        <s v="DK0240"/>
        <s v="DK0241"/>
        <s v="DK0242"/>
        <s v="DK0243"/>
        <s v="DK0244"/>
        <s v="DK0245"/>
        <s v="DK0246"/>
        <s v="DK0247"/>
        <s v="DK0248"/>
        <s v="DK0249"/>
        <s v="DK0250"/>
        <s v="DK0251"/>
        <s v="DK0252"/>
        <s v="DK0253"/>
        <s v="DK0254"/>
        <s v="DK0255"/>
        <s v="DK0256"/>
        <s v="DK0257"/>
        <s v="DK0258"/>
        <s v="DK0259"/>
        <s v="DK0260"/>
        <s v="DK0261"/>
        <s v="DK0262"/>
        <s v="DK0263"/>
        <s v="DK0264"/>
        <s v="DK0265"/>
        <s v="DK0266"/>
        <s v="DK0267"/>
        <s v="DK0268"/>
        <s v="DK0269"/>
        <s v="DK0270"/>
        <s v="DK0271"/>
        <s v="DK0272"/>
        <s v="DK0273"/>
        <s v="DK0274"/>
        <s v="DK0275"/>
        <s v="DK0276"/>
        <s v="DK0277"/>
        <s v="DK0278"/>
        <s v="DK0279"/>
        <s v="DK0280"/>
        <s v="DK0281"/>
        <s v="DK0282"/>
        <s v="DK0283"/>
        <s v="DK0284"/>
        <s v="DK0285"/>
        <s v="DK0286"/>
        <s v="DK0287"/>
        <s v="DK0288"/>
        <s v="DK0289"/>
        <s v="DK0290"/>
        <s v="DK0291"/>
        <s v="DK0292"/>
        <s v="DK0293"/>
        <s v="DK0294"/>
        <s v="DK0295"/>
        <s v="DK0296"/>
        <s v="DK0297"/>
        <s v="DK0298"/>
        <s v="DK0299"/>
        <s v="DK0300"/>
        <s v="DK0301"/>
        <s v="DK0302"/>
        <s v="DK0303"/>
        <s v="DK0304"/>
        <s v="DK0305"/>
        <s v="DK0306"/>
        <s v="DK0307"/>
        <s v="DK0308"/>
        <s v="DK0309"/>
        <s v="DK0310"/>
        <s v="DK0311"/>
        <s v="DK0312"/>
        <s v="DK0313"/>
        <s v="DK0314"/>
        <s v="DK0315"/>
        <s v="DK0316"/>
        <s v="DK0317"/>
        <s v="DK0318"/>
        <s v="DK0319"/>
        <s v="DK0320"/>
        <s v="DK0321"/>
        <s v="DK0322"/>
        <s v="DK0323"/>
        <s v="DK0324"/>
        <s v="DK0325"/>
        <s v="DK0326"/>
        <s v="DK0327"/>
        <s v="DK0328"/>
        <s v="DK0329"/>
        <s v="DK0330"/>
        <s v="DK0331"/>
        <s v="DK0332"/>
        <s v="DK0333"/>
        <s v="DK0334"/>
        <s v="DK0335"/>
        <s v="DK0336"/>
        <s v="DK0337"/>
        <s v="DK0338"/>
        <s v="DK0339"/>
        <s v="DK0340"/>
        <s v="DK0341"/>
        <s v="DK0342"/>
        <s v="DK0343"/>
        <s v="DK0344"/>
        <s v="DK0345"/>
        <s v="DK0346"/>
        <s v="DK0347"/>
        <s v="DK0348"/>
        <s v="DK0349"/>
        <s v="DK0350"/>
        <s v="DK0351"/>
        <s v="DK0352"/>
        <s v="DK0353"/>
        <s v="DK0354"/>
        <s v="DK0355"/>
        <s v="DK0356"/>
        <s v="DK0357"/>
        <s v="DK0358"/>
        <s v="DK0359"/>
        <s v="DK0360"/>
        <s v="DK0361"/>
        <s v="DK0362"/>
        <s v="DK0363"/>
        <s v="DK0364"/>
        <s v="DK0365"/>
        <s v="DK0366"/>
        <s v="DK0367"/>
        <s v="DK0368"/>
        <s v="DK0369"/>
        <s v="DK0370"/>
        <s v="DK0371"/>
        <s v="DK0372"/>
        <s v="DK0373"/>
        <s v="DK0374"/>
        <s v="DK0375"/>
        <s v="DK0376"/>
        <s v="DK0377"/>
        <s v="DK0378"/>
        <s v="DK0379"/>
        <s v="DK0380"/>
        <s v="DK0381"/>
        <s v="DK0382"/>
        <s v="DK0383"/>
        <s v="DK0384"/>
        <s v="DK0385"/>
        <s v="DK0386"/>
        <s v="DK0387"/>
        <s v="DK0388"/>
        <s v="DK0389"/>
        <s v="DK0390"/>
        <s v="DK0391"/>
        <s v="DK0392"/>
        <s v="DK0393"/>
        <s v="DK0394"/>
        <s v="DK0395"/>
        <s v="DK0396"/>
        <s v="DK0397"/>
        <s v="DK0398"/>
        <s v="DK0399"/>
        <s v="DK0400"/>
        <s v="DK0401"/>
        <s v="DK0402"/>
        <s v="DK0403"/>
        <s v="DK0404"/>
        <s v="DK0405"/>
        <s v="DK0406"/>
        <s v="DK0407"/>
        <s v="DK0408"/>
        <s v="DK0409"/>
        <s v="DK0410"/>
        <s v="DK0411"/>
        <s v="DK0412"/>
        <s v="DK0413"/>
        <s v="DK0414"/>
        <s v="DK0415"/>
        <s v="DK0416"/>
        <s v="DK0417"/>
        <s v="DK0418"/>
        <s v="DK0419"/>
        <s v="DK0420"/>
        <s v="DK0421"/>
        <s v="DK0422"/>
        <s v="DK0423"/>
        <s v="DK0424"/>
        <s v="DK0425"/>
        <s v="DK0426"/>
        <s v="DK0427"/>
        <s v="DK0428"/>
        <s v="DK0429"/>
        <s v="DK0430"/>
        <s v="DK0431"/>
        <s v="DK0432"/>
        <s v="DK0433"/>
        <s v="DK0434"/>
        <s v="DK0435"/>
        <s v="DK0436"/>
        <s v="DK0437"/>
        <s v="DK0438"/>
        <s v="DK0439"/>
        <s v="DK0440"/>
        <s v="DK0441"/>
        <s v="DK0442"/>
        <s v="DK0443"/>
        <s v="DK0444"/>
        <s v="DK0445"/>
        <s v="DK0446"/>
        <s v="DK0447"/>
        <s v="DK0448"/>
        <s v="DK0449"/>
        <s v="DK0450"/>
        <s v="DK0451"/>
        <s v="DK0452"/>
        <s v="DK0453"/>
        <s v="DK0454"/>
        <s v="DK0455"/>
        <s v="DK0456"/>
        <s v="DK0457"/>
        <s v="DK0458"/>
        <s v="DK0459"/>
        <s v="DK0460"/>
        <s v="DK0461"/>
        <s v="DK0462"/>
        <s v="DK0463"/>
        <s v="DK0464"/>
        <s v="DK0465"/>
        <s v="DK0466"/>
        <s v="DK0467"/>
        <s v="DK0468"/>
        <s v="DK0469"/>
        <s v="DK0470"/>
        <s v="DK0471"/>
        <s v="DK0472"/>
        <s v="DK0473"/>
        <s v="DK0474"/>
        <s v="DK0475"/>
        <s v="DK0476"/>
        <s v="DK0477"/>
        <s v="DK0478"/>
        <s v="DK0479"/>
        <s v="DK0480"/>
        <s v="DK0481"/>
        <s v="DK0482"/>
        <s v="DK0483"/>
        <s v="DK0484"/>
        <s v="DK0485"/>
        <s v="DK0486"/>
        <s v="DK0487"/>
        <s v="DK0488"/>
        <s v="DK0489"/>
        <s v="DK0490"/>
        <s v="DK0491"/>
        <s v="DK0492"/>
        <s v="DK0493"/>
        <s v="DK0494"/>
        <s v="DK0495"/>
        <s v="DK0496"/>
        <s v="DK0497"/>
        <s v="DK0498"/>
        <s v="DK0499"/>
        <s v="DK0500"/>
        <s v="DK0501"/>
        <s v="DK0502"/>
        <s v="DK0503"/>
        <s v="DK0504"/>
        <s v="DK0505"/>
        <s v="DK0506"/>
        <s v="DK0507"/>
        <s v="DK0508"/>
        <s v="DK0509"/>
        <s v="DK0510"/>
        <s v="DK0511"/>
        <s v="DK0512"/>
        <s v="DK0513"/>
        <s v="DK0514"/>
        <s v="DK0515"/>
        <s v="DK0516"/>
        <s v="DK0517"/>
        <s v="DK0518"/>
        <s v="DK0519"/>
        <s v="DK0520"/>
        <s v="DK0521"/>
        <s v="DK0522"/>
        <s v="DK0523"/>
        <s v="DK0524"/>
        <s v="DK0525"/>
        <s v="DK0526"/>
        <s v="DK0527"/>
        <s v="DK0528"/>
        <s v="DK0529"/>
        <s v="DK0530"/>
        <s v="DK0531"/>
        <s v="DK0532"/>
        <s v="DK0533"/>
        <s v="DK0534"/>
        <s v="DK0535"/>
        <s v="DK0536"/>
        <s v="DK0537"/>
        <s v="DK0538"/>
        <s v="DK0539"/>
        <s v="DK0540"/>
        <s v="DK0541"/>
        <s v="DK0542"/>
        <s v="DK0543"/>
        <s v="DK0544"/>
        <s v="DK0545"/>
        <s v="DK0546"/>
        <s v="DK0547"/>
        <s v="DK0548"/>
        <s v="DK0549"/>
        <s v="DK0550"/>
        <s v="DK0551"/>
        <s v="DK0552"/>
        <s v="DK0553"/>
        <s v="DK0554"/>
        <s v="DK0555"/>
        <s v="DK0556"/>
        <s v="DK0557"/>
        <s v="DK0558"/>
        <s v="DK0559"/>
        <s v="DK0560"/>
        <s v="DK0561"/>
        <s v="DK0562"/>
        <s v="DK0563"/>
        <s v="DK0564"/>
        <s v="DK0565"/>
        <s v="DK0566"/>
        <s v="DK0567"/>
        <s v="DK0568"/>
        <s v="DK0569"/>
        <s v="DK0570"/>
        <s v="DK0571"/>
        <s v="DK0572"/>
        <s v="DK0573"/>
        <s v="DK0574"/>
        <s v="DK0575"/>
        <s v="DK0576"/>
        <s v="DK0577"/>
        <s v="DK0578"/>
        <s v="DK0579"/>
        <s v="DK0580"/>
        <s v="DK0581"/>
        <s v="DK0582"/>
        <s v="DK0583"/>
        <s v="DK0584"/>
        <s v="DK0585"/>
        <s v="DK0586"/>
        <s v="DK0587"/>
        <s v="DK0588"/>
        <s v="DK0589"/>
        <s v="DK0590"/>
        <s v="DK0591"/>
        <s v="DK0592"/>
        <s v="DK0593"/>
        <s v="DK0594"/>
        <s v="DK0595"/>
        <s v="DK0596"/>
        <s v="DK0597"/>
        <s v="DK0598"/>
        <s v="DK0599"/>
        <s v="DK0600"/>
        <s v="DK0601"/>
        <s v="DK0602"/>
        <s v="DK0603"/>
        <s v="DK0604"/>
        <s v="DK0605"/>
        <s v="DK0606"/>
        <s v="DK0607"/>
        <s v="DK0608"/>
        <s v="DK0609"/>
        <s v="DK0610"/>
        <s v="DK0611"/>
        <s v="DK0612"/>
        <s v="DK0613"/>
        <s v="DK0614"/>
        <s v="DK0615"/>
        <s v="DK0616"/>
        <s v="DK0617"/>
        <s v="DK0618"/>
        <s v="DK0619"/>
        <s v="DK0620"/>
        <s v="DK0621"/>
        <s v="DK0622"/>
        <s v="DK0623"/>
        <s v="DK0624"/>
        <s v="DK0625"/>
        <s v="DK0626"/>
        <s v="DK0627"/>
        <s v="DK0628"/>
        <s v="DK0629"/>
        <s v="DK0630"/>
        <s v="DK0631"/>
        <s v="DK0632"/>
        <s v="DK0633"/>
        <s v="DK0634"/>
        <s v="DK0635"/>
        <s v="DK0636"/>
        <s v="DK0637"/>
        <s v="DK0638"/>
        <s v="DK0639"/>
        <s v="DK0640"/>
        <s v="DK0641"/>
        <s v="DK0642"/>
        <s v="DK0643"/>
        <s v="DK0644"/>
        <s v="DK0645"/>
        <s v="DK0646"/>
        <s v="DK0647"/>
        <s v="DK0648"/>
        <s v="DK0649"/>
        <s v="DK0650"/>
        <s v="DK0651"/>
        <s v="DK0652"/>
        <s v="DK0653"/>
        <s v="DK0654"/>
        <s v="DK0655"/>
        <s v="DK0656"/>
        <s v="DK0657"/>
        <s v="DK0658"/>
        <s v="DK0659"/>
        <s v="DK0660"/>
        <s v="DK0661"/>
        <s v="DK0662"/>
        <s v="DK0663"/>
        <s v="DK0664"/>
        <s v="DK0665"/>
        <s v="DK0666"/>
        <s v="DK0667"/>
        <s v="DK0668"/>
        <s v="DK0669"/>
        <s v="DK0670"/>
        <s v="DK0671"/>
        <s v="DK0672"/>
        <s v="DK0673"/>
        <s v="DK0674"/>
        <s v="DK0675"/>
        <s v="DK0676"/>
        <s v="DK0677"/>
        <s v="DK0678"/>
        <s v="DK0679"/>
        <s v="DK0680"/>
        <s v="DK0681"/>
        <s v="DK0682"/>
        <s v="DK0683"/>
        <s v="DK0684"/>
        <s v="DK0685"/>
        <s v="DK0686"/>
        <s v="DK0687"/>
        <s v="DK0688"/>
        <s v="DK0689"/>
        <s v="DK0690"/>
        <s v="DK0691"/>
        <s v="DK0692"/>
        <s v="DK0693"/>
        <s v="DK0694"/>
        <s v="DK0695"/>
        <s v="DK0696"/>
        <s v="DK0697"/>
        <s v="DK0698"/>
        <s v="DK0699"/>
        <s v="DK0700"/>
        <s v="DK0701"/>
        <s v="DK0702"/>
        <s v="DK0703"/>
        <s v="DK0704"/>
        <s v="DK0705"/>
        <s v="DK0706"/>
        <s v="DK0707"/>
        <s v="DK0708"/>
        <s v="DK0709"/>
        <s v="DK0710"/>
        <s v="DK0711"/>
        <s v="DK0712"/>
        <s v="DK0713"/>
        <s v="DK0714"/>
        <s v="DK0715"/>
        <s v="DK0716"/>
        <s v="DK0717"/>
        <s v="DK0718"/>
        <s v="DK0719"/>
        <s v="DK0720"/>
        <s v="DK0721"/>
        <s v="DK0722"/>
        <s v="DK0723"/>
        <s v="DK0724"/>
        <s v="DK0725"/>
        <s v="DK0726"/>
        <s v="DK0727"/>
        <s v="DK0728"/>
        <s v="DK0729"/>
        <s v="DK0730"/>
        <s v="DK0731"/>
        <s v="DK0732"/>
        <s v="DK0733"/>
        <s v="DK0734"/>
        <s v="DK0735"/>
        <s v="DK0736"/>
        <s v="DK0737"/>
        <s v="DK0738"/>
        <s v="DK0739"/>
        <s v="DK0740"/>
        <s v="DK0741"/>
        <s v="DK0742"/>
        <s v="DK0743"/>
        <s v="DK0744"/>
        <s v="DK0745"/>
        <s v="DK0746"/>
        <s v="DK0747"/>
        <s v="DK0748"/>
        <s v="DK0749"/>
        <s v="DK0750"/>
        <s v="DK0751"/>
        <s v="DK0752"/>
        <s v="DK0753"/>
        <s v="DK0754"/>
        <s v="DK0755"/>
        <s v="DK0756"/>
        <s v="DK0757"/>
        <s v="DK0758"/>
        <s v="DK0759"/>
        <s v="DK0760"/>
        <s v="DK0761"/>
        <s v="DK0762"/>
        <s v="DK0763"/>
        <s v="DK0764"/>
        <s v="DK0765"/>
        <s v="DK0766"/>
        <s v="DK0767"/>
        <s v="DK0768"/>
        <s v="DK0769"/>
        <s v="DK0770"/>
        <s v="DK0771"/>
        <s v="DK0772"/>
        <s v="DK0773"/>
        <s v="DK0774"/>
        <s v="DK0775"/>
        <s v="DK0776"/>
        <s v="DK0777"/>
        <s v="DK0778"/>
        <s v="DK0779"/>
        <s v="DK0780"/>
        <s v="DK0781"/>
        <s v="DK0782"/>
        <s v="DK0783"/>
        <s v="DK0784"/>
        <s v="DK0785"/>
        <s v="DK0786"/>
        <s v="DK0787"/>
        <s v="DK0788"/>
        <s v="DK0789"/>
        <s v="DK0790"/>
        <s v="DK0791"/>
        <s v="DK0792"/>
        <s v="DK0793"/>
        <s v="DK0794"/>
        <s v="DK0795"/>
        <s v="DK0796"/>
        <s v="DK0797"/>
        <s v="DK0798"/>
        <s v="DK0799"/>
        <s v="DK0800"/>
        <s v="DK0801"/>
        <s v="DK0802"/>
        <s v="DK0803"/>
        <s v="DK0804"/>
        <s v="DK0805"/>
        <s v="DK0806"/>
        <s v="DK0807"/>
        <s v="DK0808"/>
        <s v="DK0809"/>
        <s v="DK0810"/>
        <s v="DK0811"/>
        <s v="DK0812"/>
        <s v="DK0813"/>
        <s v="DK0814"/>
        <s v="DK0815"/>
        <s v="DK0816"/>
        <s v="DK0817"/>
        <s v="DK0818"/>
        <s v="DK0819"/>
        <s v="DK0820"/>
        <s v="DK0821"/>
        <s v="DK0822"/>
        <s v="DK0823"/>
        <s v="DK0824"/>
        <s v="DK0825"/>
        <s v="DK0826"/>
        <s v="DK0827"/>
        <s v="DK0828"/>
        <s v="DK0829"/>
        <s v="DK0830"/>
        <s v="DK0831"/>
        <s v="DK0832"/>
        <s v="DK0833"/>
        <s v="DK0834"/>
        <s v="DK0835"/>
        <s v="DK0836"/>
        <s v="DK0837"/>
        <s v="DK0838"/>
        <s v="DK0839"/>
        <s v="DK0840"/>
        <s v="DK0841"/>
        <s v="DK0842"/>
        <s v="DK0843"/>
        <s v="DK0844"/>
        <s v="DK0845"/>
        <s v="DK0846"/>
        <s v="DK0847"/>
        <s v="DK0848"/>
        <s v="DK0849"/>
        <s v="DK0850"/>
        <s v="DK0851"/>
        <s v="DK0852"/>
        <s v="DK0853"/>
        <s v="DK0854"/>
        <s v="DK0855"/>
        <s v="DK0856"/>
        <s v="DK0857"/>
        <s v="DK0858"/>
        <s v="DK0859"/>
        <s v="DK0860"/>
        <s v="DK0861"/>
        <s v="DK0862"/>
        <s v="DK0863"/>
        <s v="DK0864"/>
        <s v="DK0865"/>
        <s v="DK0866"/>
        <s v="DK0867"/>
        <s v="DK0868"/>
        <s v="DK0869"/>
        <s v="DK0870"/>
        <s v="DK0871"/>
        <s v="DK0872"/>
        <s v="DK0873"/>
        <s v="DK0874"/>
        <s v="DK0875"/>
        <s v="DK0876"/>
        <s v="DK0877"/>
        <s v="DK0878"/>
        <s v="DK0879"/>
        <s v="DK0880"/>
        <s v="DK0881"/>
        <s v="DK0882"/>
        <s v="DK0883"/>
        <s v="DK0884"/>
        <s v="DK0885"/>
        <s v="DK0886"/>
        <s v="DK0887"/>
        <s v="DK0888"/>
        <s v="DK0889"/>
        <s v="DK0890"/>
        <s v="DK0891"/>
        <s v="DK0892"/>
        <s v="DK0893"/>
        <s v="DK0894"/>
        <s v="DK0895"/>
        <s v="DK0896"/>
        <s v="DK0897"/>
        <s v="DK0898"/>
        <s v="DK0899"/>
        <s v="DK0900"/>
        <s v="DK0901"/>
        <s v="DK0902"/>
        <s v="DK0903"/>
        <s v="DK0904"/>
        <s v="DK0905"/>
        <s v="DK0906"/>
        <s v="DK0907"/>
        <s v="DK0908"/>
        <s v="DK0909"/>
        <s v="DK0910"/>
        <s v="DK0911"/>
        <s v="DK0912"/>
        <s v="DK0913"/>
        <s v="DK0914"/>
        <s v="DK0915"/>
        <s v="DK0916"/>
        <s v="DK0917"/>
        <s v="DK0918"/>
        <s v="DK0919"/>
        <s v="DK0920"/>
        <s v="DK0921"/>
        <s v="DK0922"/>
        <s v="DK0923"/>
        <s v="DK0924"/>
        <s v="DK0925"/>
        <s v="DK0926"/>
        <s v="DK0927"/>
        <s v="DK0928"/>
        <s v="DK0929"/>
        <s v="DK0930"/>
        <s v="DK0931"/>
        <s v="DK0932"/>
        <s v="DK0933"/>
        <s v="DK0934"/>
        <s v="DK0935"/>
        <s v="DK0936"/>
        <s v="DK0937"/>
        <s v="DK0938"/>
        <s v="DK0939"/>
        <s v="DK0940"/>
        <s v="DK0941"/>
        <s v="DK0942"/>
        <s v="DK0943"/>
        <s v="DK0944"/>
        <s v="DK0945"/>
        <s v="DK0946"/>
        <s v="DK0947"/>
        <s v="DK0948"/>
        <s v="DK0949"/>
        <s v="DK0950"/>
        <s v="DK0951"/>
        <s v="DK0952"/>
        <s v="DK0953"/>
        <s v="DK0954"/>
        <s v="DK0955"/>
        <s v="DK0956"/>
        <s v="DK0957"/>
        <s v="DK0958"/>
        <s v="DK0959"/>
        <s v="DK0960"/>
        <s v="DK0961"/>
        <s v="DK0962"/>
        <s v="DK0963"/>
        <s v="DK0964"/>
        <s v="DK0965"/>
        <s v="DK0966"/>
        <s v="DK0967"/>
        <s v="DK0968"/>
        <s v="DK0969"/>
        <s v="DK0970"/>
        <s v="DK0971"/>
        <s v="DK0972"/>
        <s v="DK0973"/>
        <s v="DK0974"/>
        <s v="DK0975"/>
        <s v="DK0976"/>
        <s v="DK0977"/>
        <s v="DK0978"/>
        <s v="DK0979"/>
        <s v="DK0980"/>
        <s v="DK0981"/>
        <s v="DK0982"/>
        <s v="DK0983"/>
        <s v="DK0984"/>
        <s v="DK0985"/>
        <s v="DK0986"/>
        <s v="DK0987"/>
        <s v="DK0988"/>
        <s v="DK0989"/>
        <s v="DK0990"/>
        <s v="DK0991"/>
        <s v="DK0992"/>
        <s v="DK0993"/>
        <s v="DK0994"/>
        <s v="DK0995"/>
        <s v="DK0996"/>
        <s v="DK0997"/>
        <s v="DK0998"/>
        <s v="DK0999"/>
        <s v="DK1000"/>
      </sharedItems>
    </cacheField>
    <cacheField name="order_date" numFmtId="0">
      <sharedItems count="180">
        <s v="2026-01-01"/>
        <s v="2026-01-02"/>
        <s v="2026-01-03"/>
        <s v="2026-01-04"/>
        <s v="2026-01-05"/>
        <s v="2026-01-06"/>
        <s v="2026-01-07"/>
        <s v="2026-01-08"/>
        <s v="2026-01-09"/>
        <s v="2026-01-10"/>
        <s v="2026-01-11"/>
        <s v="2026-01-12"/>
        <s v="2026-01-13"/>
        <s v="2026-01-14"/>
        <s v="2026-01-15"/>
        <s v="2026-01-16"/>
        <s v="2026-01-17"/>
        <s v="2026-01-18"/>
        <s v="2026-01-19"/>
        <s v="2026-01-20"/>
        <s v="2026-01-21"/>
        <s v="2026-01-22"/>
        <s v="2026-01-23"/>
        <s v="2026-01-24"/>
        <s v="2026-01-25"/>
        <s v="2026-01-26"/>
        <s v="2026-01-27"/>
        <s v="2026-01-28"/>
        <s v="2026-01-29"/>
        <s v="2026-01-30"/>
        <s v="2026-01-31"/>
        <s v="2026-02-01"/>
        <s v="2026-02-02"/>
        <s v="2026-02-03"/>
        <s v="2026-02-04"/>
        <s v="2026-02-05"/>
        <s v="2026-02-06"/>
        <s v="2026-02-07"/>
        <s v="2026-02-08"/>
        <s v="2026-02-09"/>
        <s v="2026-02-10"/>
        <s v="2026-02-11"/>
        <s v="2026-02-12"/>
        <s v="2026-02-13"/>
        <s v="2026-02-14"/>
        <s v="2026-02-15"/>
        <s v="2026-02-16"/>
        <s v="2026-02-17"/>
        <s v="2026-02-18"/>
        <s v="2026-02-19"/>
        <s v="2026-02-20"/>
        <s v="2026-02-21"/>
        <s v="2026-02-22"/>
        <s v="2026-02-23"/>
        <s v="2026-02-24"/>
        <s v="2026-02-25"/>
        <s v="2026-02-26"/>
        <s v="2026-02-27"/>
        <s v="2026-02-28"/>
        <s v="2026-03-01"/>
        <s v="2026-03-02"/>
        <s v="2026-03-03"/>
        <s v="2026-03-04"/>
        <s v="2026-03-05"/>
        <s v="2026-03-06"/>
        <s v="2026-03-07"/>
        <s v="2026-03-08"/>
        <s v="2026-03-09"/>
        <s v="2026-03-10"/>
        <s v="2026-03-11"/>
        <s v="2026-03-12"/>
        <s v="2026-03-13"/>
        <s v="2026-03-14"/>
        <s v="2026-03-15"/>
        <s v="2026-03-16"/>
        <s v="2026-03-17"/>
        <s v="2026-03-18"/>
        <s v="2026-03-19"/>
        <s v="2026-03-20"/>
        <s v="2026-03-21"/>
        <s v="2026-03-22"/>
        <s v="2026-03-23"/>
        <s v="2026-03-24"/>
        <s v="2026-03-25"/>
        <s v="2026-03-26"/>
        <s v="2026-03-27"/>
        <s v="2026-03-28"/>
        <s v="2026-03-29"/>
        <s v="2026-03-30"/>
        <s v="2026-03-31"/>
        <s v="2026-04-01"/>
        <s v="2026-04-02"/>
        <s v="2026-04-03"/>
        <s v="2026-04-04"/>
        <s v="2026-04-05"/>
        <s v="2026-04-06"/>
        <s v="2026-04-07"/>
        <s v="2026-04-08"/>
        <s v="2026-04-09"/>
        <s v="2026-04-10"/>
        <s v="2026-04-11"/>
        <s v="2026-04-12"/>
        <s v="2026-04-13"/>
        <s v="2026-04-14"/>
        <s v="2026-04-15"/>
        <s v="2026-04-16"/>
        <s v="2026-04-17"/>
        <s v="2026-04-18"/>
        <s v="2026-04-19"/>
        <s v="2026-04-20"/>
        <s v="2026-04-21"/>
        <s v="2026-04-22"/>
        <s v="2026-04-23"/>
        <s v="2026-04-24"/>
        <s v="2026-04-25"/>
        <s v="2026-04-26"/>
        <s v="2026-04-27"/>
        <s v="2026-04-28"/>
        <s v="2026-04-29"/>
        <s v="2026-04-30"/>
        <s v="2026-05-01"/>
        <s v="2026-05-02"/>
        <s v="2026-05-03"/>
        <s v="2026-05-04"/>
        <s v="2026-05-05"/>
        <s v="2026-05-06"/>
        <s v="2026-05-07"/>
        <s v="2026-05-08"/>
        <s v="2026-05-09"/>
        <s v="2026-05-10"/>
        <s v="2026-05-11"/>
        <s v="2026-05-12"/>
        <s v="2026-05-13"/>
        <s v="2026-05-14"/>
        <s v="2026-05-15"/>
        <s v="2026-05-16"/>
        <s v="2026-05-17"/>
        <s v="2026-05-18"/>
        <s v="2026-05-19"/>
        <s v="2026-05-20"/>
        <s v="2026-05-21"/>
        <s v="2026-05-22"/>
        <s v="2026-05-23"/>
        <s v="2026-05-24"/>
        <s v="2026-05-25"/>
        <s v="2026-05-26"/>
        <s v="2026-05-27"/>
        <s v="2026-05-28"/>
        <s v="2026-05-29"/>
        <s v="2026-05-30"/>
        <s v="2026-05-31"/>
        <s v="2026-06-01"/>
        <s v="2026-06-02"/>
        <s v="2026-06-03"/>
        <s v="2026-06-04"/>
        <s v="2026-06-05"/>
        <s v="2026-06-06"/>
        <s v="2026-06-07"/>
        <s v="2026-06-08"/>
        <s v="2026-06-09"/>
        <s v="2026-06-10"/>
        <s v="2026-06-11"/>
        <s v="2026-06-12"/>
        <s v="2026-06-13"/>
        <s v="2026-06-14"/>
        <s v="2026-06-15"/>
        <s v="2026-06-16"/>
        <s v="2026-06-17"/>
        <s v="2026-06-18"/>
        <s v="2026-06-19"/>
        <s v="2026-06-20"/>
        <s v="2026-06-21"/>
        <s v="2026-06-23"/>
        <s v="2026-06-24"/>
        <s v="2026-06-25"/>
        <s v="2026-06-26"/>
        <s v="2026-06-27"/>
        <s v="2026-06-28"/>
        <s v="2026-06-29"/>
        <s v="2026-06-30"/>
      </sharedItems>
    </cacheField>
    <cacheField name="branch" numFmtId="0">
      <sharedItems count="5">
        <s v="Eldoret"/>
        <s v="Kisumu"/>
        <s v="Mombasa"/>
        <s v="Nairobi"/>
        <s v="Nakuru"/>
      </sharedItems>
    </cacheField>
    <cacheField name="product" numFmtId="0">
      <sharedItems count="6">
        <s v="Headphones"/>
        <s v="Laptop"/>
        <s v="Power Bank"/>
        <s v="Smart TV"/>
        <s v="Smartphone"/>
        <s v="Tablet"/>
      </sharedItems>
    </cacheField>
    <cacheField name="channel" numFmtId="0">
      <sharedItems count="2">
        <s v="In-Store"/>
        <s v="Online"/>
      </sharedItems>
    </cacheField>
    <cacheField name="units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unit_price" numFmtId="0">
      <sharedItems containsSemiMixedTypes="0" containsString="0" containsNumber="1" containsInteger="1" minValue="2500" maxValue="62000" count="6">
        <n v="2500"/>
        <n v="6500"/>
        <n v="18500"/>
        <n v="28000"/>
        <n v="45000"/>
        <n v="62000"/>
      </sharedItems>
    </cacheField>
    <cacheField name="revenue" numFmtId="0">
      <sharedItems containsSemiMixedTypes="0" containsString="0" containsNumber="1" containsInteger="1" minValue="2500" maxValue="124000" count="18">
        <n v="2500"/>
        <n v="5000"/>
        <n v="6500"/>
        <n v="7500"/>
        <n v="10000"/>
        <n v="12500"/>
        <n v="13000"/>
        <n v="18500"/>
        <n v="19500"/>
        <n v="26000"/>
        <n v="28000"/>
        <n v="32500"/>
        <n v="37000"/>
        <n v="45000"/>
        <n v="56000"/>
        <n v="62000"/>
        <n v="90000"/>
        <n v="124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117"/>
    <x v="0"/>
    <x v="2"/>
    <x v="0"/>
    <x v="0"/>
    <x v="3"/>
    <x v="1"/>
    <x v="9"/>
  </r>
  <r>
    <x v="286"/>
    <x v="0"/>
    <x v="0"/>
    <x v="2"/>
    <x v="1"/>
    <x v="2"/>
    <x v="0"/>
    <x v="3"/>
  </r>
  <r>
    <x v="78"/>
    <x v="0"/>
    <x v="3"/>
    <x v="3"/>
    <x v="0"/>
    <x v="1"/>
    <x v="4"/>
    <x v="16"/>
  </r>
  <r>
    <x v="937"/>
    <x v="0"/>
    <x v="2"/>
    <x v="1"/>
    <x v="0"/>
    <x v="0"/>
    <x v="5"/>
    <x v="15"/>
  </r>
  <r>
    <x v="553"/>
    <x v="1"/>
    <x v="4"/>
    <x v="4"/>
    <x v="0"/>
    <x v="0"/>
    <x v="2"/>
    <x v="7"/>
  </r>
  <r>
    <x v="605"/>
    <x v="1"/>
    <x v="2"/>
    <x v="0"/>
    <x v="1"/>
    <x v="4"/>
    <x v="1"/>
    <x v="11"/>
  </r>
  <r>
    <x v="978"/>
    <x v="1"/>
    <x v="4"/>
    <x v="2"/>
    <x v="0"/>
    <x v="1"/>
    <x v="0"/>
    <x v="1"/>
  </r>
  <r>
    <x v="874"/>
    <x v="1"/>
    <x v="0"/>
    <x v="4"/>
    <x v="1"/>
    <x v="1"/>
    <x v="2"/>
    <x v="12"/>
  </r>
  <r>
    <x v="482"/>
    <x v="1"/>
    <x v="3"/>
    <x v="4"/>
    <x v="1"/>
    <x v="0"/>
    <x v="2"/>
    <x v="7"/>
  </r>
  <r>
    <x v="384"/>
    <x v="1"/>
    <x v="1"/>
    <x v="5"/>
    <x v="0"/>
    <x v="0"/>
    <x v="3"/>
    <x v="10"/>
  </r>
  <r>
    <x v="841"/>
    <x v="1"/>
    <x v="2"/>
    <x v="1"/>
    <x v="0"/>
    <x v="1"/>
    <x v="5"/>
    <x v="17"/>
  </r>
  <r>
    <x v="506"/>
    <x v="1"/>
    <x v="0"/>
    <x v="2"/>
    <x v="0"/>
    <x v="0"/>
    <x v="0"/>
    <x v="0"/>
  </r>
  <r>
    <x v="169"/>
    <x v="2"/>
    <x v="3"/>
    <x v="5"/>
    <x v="0"/>
    <x v="1"/>
    <x v="3"/>
    <x v="14"/>
  </r>
  <r>
    <x v="47"/>
    <x v="2"/>
    <x v="2"/>
    <x v="4"/>
    <x v="1"/>
    <x v="0"/>
    <x v="2"/>
    <x v="7"/>
  </r>
  <r>
    <x v="535"/>
    <x v="2"/>
    <x v="1"/>
    <x v="2"/>
    <x v="1"/>
    <x v="0"/>
    <x v="0"/>
    <x v="0"/>
  </r>
  <r>
    <x v="461"/>
    <x v="2"/>
    <x v="2"/>
    <x v="4"/>
    <x v="0"/>
    <x v="1"/>
    <x v="2"/>
    <x v="12"/>
  </r>
  <r>
    <x v="973"/>
    <x v="2"/>
    <x v="3"/>
    <x v="3"/>
    <x v="0"/>
    <x v="0"/>
    <x v="4"/>
    <x v="13"/>
  </r>
  <r>
    <x v="866"/>
    <x v="3"/>
    <x v="3"/>
    <x v="3"/>
    <x v="0"/>
    <x v="1"/>
    <x v="4"/>
    <x v="16"/>
  </r>
  <r>
    <x v="429"/>
    <x v="3"/>
    <x v="3"/>
    <x v="4"/>
    <x v="1"/>
    <x v="0"/>
    <x v="2"/>
    <x v="7"/>
  </r>
  <r>
    <x v="709"/>
    <x v="4"/>
    <x v="3"/>
    <x v="0"/>
    <x v="0"/>
    <x v="0"/>
    <x v="1"/>
    <x v="2"/>
  </r>
  <r>
    <x v="157"/>
    <x v="4"/>
    <x v="1"/>
    <x v="2"/>
    <x v="0"/>
    <x v="1"/>
    <x v="0"/>
    <x v="1"/>
  </r>
  <r>
    <x v="404"/>
    <x v="4"/>
    <x v="4"/>
    <x v="1"/>
    <x v="1"/>
    <x v="1"/>
    <x v="5"/>
    <x v="17"/>
  </r>
  <r>
    <x v="462"/>
    <x v="4"/>
    <x v="3"/>
    <x v="1"/>
    <x v="1"/>
    <x v="1"/>
    <x v="5"/>
    <x v="17"/>
  </r>
  <r>
    <x v="831"/>
    <x v="4"/>
    <x v="2"/>
    <x v="2"/>
    <x v="1"/>
    <x v="4"/>
    <x v="0"/>
    <x v="5"/>
  </r>
  <r>
    <x v="390"/>
    <x v="4"/>
    <x v="2"/>
    <x v="4"/>
    <x v="0"/>
    <x v="0"/>
    <x v="2"/>
    <x v="7"/>
  </r>
  <r>
    <x v="491"/>
    <x v="4"/>
    <x v="3"/>
    <x v="2"/>
    <x v="1"/>
    <x v="3"/>
    <x v="0"/>
    <x v="4"/>
  </r>
  <r>
    <x v="2"/>
    <x v="4"/>
    <x v="3"/>
    <x v="2"/>
    <x v="0"/>
    <x v="3"/>
    <x v="0"/>
    <x v="4"/>
  </r>
  <r>
    <x v="980"/>
    <x v="4"/>
    <x v="2"/>
    <x v="4"/>
    <x v="0"/>
    <x v="1"/>
    <x v="2"/>
    <x v="12"/>
  </r>
  <r>
    <x v="220"/>
    <x v="5"/>
    <x v="1"/>
    <x v="2"/>
    <x v="0"/>
    <x v="2"/>
    <x v="0"/>
    <x v="3"/>
  </r>
  <r>
    <x v="502"/>
    <x v="5"/>
    <x v="3"/>
    <x v="0"/>
    <x v="0"/>
    <x v="4"/>
    <x v="1"/>
    <x v="11"/>
  </r>
  <r>
    <x v="231"/>
    <x v="5"/>
    <x v="3"/>
    <x v="0"/>
    <x v="0"/>
    <x v="3"/>
    <x v="1"/>
    <x v="9"/>
  </r>
  <r>
    <x v="761"/>
    <x v="5"/>
    <x v="1"/>
    <x v="0"/>
    <x v="0"/>
    <x v="2"/>
    <x v="1"/>
    <x v="8"/>
  </r>
  <r>
    <x v="335"/>
    <x v="5"/>
    <x v="3"/>
    <x v="1"/>
    <x v="1"/>
    <x v="0"/>
    <x v="5"/>
    <x v="15"/>
  </r>
  <r>
    <x v="348"/>
    <x v="5"/>
    <x v="1"/>
    <x v="2"/>
    <x v="0"/>
    <x v="4"/>
    <x v="0"/>
    <x v="5"/>
  </r>
  <r>
    <x v="926"/>
    <x v="5"/>
    <x v="3"/>
    <x v="0"/>
    <x v="0"/>
    <x v="4"/>
    <x v="1"/>
    <x v="11"/>
  </r>
  <r>
    <x v="330"/>
    <x v="6"/>
    <x v="3"/>
    <x v="2"/>
    <x v="0"/>
    <x v="1"/>
    <x v="0"/>
    <x v="1"/>
  </r>
  <r>
    <x v="898"/>
    <x v="6"/>
    <x v="2"/>
    <x v="4"/>
    <x v="1"/>
    <x v="1"/>
    <x v="2"/>
    <x v="12"/>
  </r>
  <r>
    <x v="158"/>
    <x v="6"/>
    <x v="0"/>
    <x v="2"/>
    <x v="0"/>
    <x v="3"/>
    <x v="0"/>
    <x v="4"/>
  </r>
  <r>
    <x v="110"/>
    <x v="6"/>
    <x v="3"/>
    <x v="2"/>
    <x v="0"/>
    <x v="4"/>
    <x v="0"/>
    <x v="5"/>
  </r>
  <r>
    <x v="892"/>
    <x v="6"/>
    <x v="2"/>
    <x v="1"/>
    <x v="0"/>
    <x v="0"/>
    <x v="5"/>
    <x v="15"/>
  </r>
  <r>
    <x v="807"/>
    <x v="6"/>
    <x v="2"/>
    <x v="3"/>
    <x v="1"/>
    <x v="1"/>
    <x v="4"/>
    <x v="16"/>
  </r>
  <r>
    <x v="102"/>
    <x v="6"/>
    <x v="2"/>
    <x v="4"/>
    <x v="1"/>
    <x v="0"/>
    <x v="2"/>
    <x v="7"/>
  </r>
  <r>
    <x v="782"/>
    <x v="7"/>
    <x v="2"/>
    <x v="0"/>
    <x v="0"/>
    <x v="4"/>
    <x v="1"/>
    <x v="11"/>
  </r>
  <r>
    <x v="612"/>
    <x v="7"/>
    <x v="0"/>
    <x v="4"/>
    <x v="1"/>
    <x v="0"/>
    <x v="2"/>
    <x v="7"/>
  </r>
  <r>
    <x v="512"/>
    <x v="7"/>
    <x v="3"/>
    <x v="4"/>
    <x v="0"/>
    <x v="1"/>
    <x v="2"/>
    <x v="12"/>
  </r>
  <r>
    <x v="118"/>
    <x v="7"/>
    <x v="3"/>
    <x v="5"/>
    <x v="1"/>
    <x v="0"/>
    <x v="3"/>
    <x v="10"/>
  </r>
  <r>
    <x v="331"/>
    <x v="7"/>
    <x v="3"/>
    <x v="4"/>
    <x v="0"/>
    <x v="1"/>
    <x v="2"/>
    <x v="12"/>
  </r>
  <r>
    <x v="767"/>
    <x v="8"/>
    <x v="2"/>
    <x v="4"/>
    <x v="0"/>
    <x v="1"/>
    <x v="2"/>
    <x v="12"/>
  </r>
  <r>
    <x v="541"/>
    <x v="8"/>
    <x v="0"/>
    <x v="4"/>
    <x v="1"/>
    <x v="1"/>
    <x v="2"/>
    <x v="12"/>
  </r>
  <r>
    <x v="292"/>
    <x v="8"/>
    <x v="4"/>
    <x v="4"/>
    <x v="1"/>
    <x v="0"/>
    <x v="2"/>
    <x v="7"/>
  </r>
  <r>
    <x v="304"/>
    <x v="8"/>
    <x v="3"/>
    <x v="3"/>
    <x v="0"/>
    <x v="0"/>
    <x v="4"/>
    <x v="13"/>
  </r>
  <r>
    <x v="619"/>
    <x v="9"/>
    <x v="3"/>
    <x v="0"/>
    <x v="1"/>
    <x v="0"/>
    <x v="1"/>
    <x v="2"/>
  </r>
  <r>
    <x v="864"/>
    <x v="9"/>
    <x v="2"/>
    <x v="0"/>
    <x v="0"/>
    <x v="4"/>
    <x v="1"/>
    <x v="11"/>
  </r>
  <r>
    <x v="809"/>
    <x v="9"/>
    <x v="0"/>
    <x v="5"/>
    <x v="1"/>
    <x v="1"/>
    <x v="3"/>
    <x v="14"/>
  </r>
  <r>
    <x v="970"/>
    <x v="9"/>
    <x v="4"/>
    <x v="4"/>
    <x v="1"/>
    <x v="1"/>
    <x v="2"/>
    <x v="12"/>
  </r>
  <r>
    <x v="856"/>
    <x v="9"/>
    <x v="0"/>
    <x v="4"/>
    <x v="1"/>
    <x v="1"/>
    <x v="2"/>
    <x v="12"/>
  </r>
  <r>
    <x v="514"/>
    <x v="9"/>
    <x v="2"/>
    <x v="4"/>
    <x v="1"/>
    <x v="1"/>
    <x v="2"/>
    <x v="12"/>
  </r>
  <r>
    <x v="133"/>
    <x v="10"/>
    <x v="2"/>
    <x v="0"/>
    <x v="0"/>
    <x v="1"/>
    <x v="1"/>
    <x v="6"/>
  </r>
  <r>
    <x v="632"/>
    <x v="10"/>
    <x v="4"/>
    <x v="4"/>
    <x v="0"/>
    <x v="1"/>
    <x v="2"/>
    <x v="12"/>
  </r>
  <r>
    <x v="542"/>
    <x v="10"/>
    <x v="0"/>
    <x v="4"/>
    <x v="0"/>
    <x v="1"/>
    <x v="2"/>
    <x v="12"/>
  </r>
  <r>
    <x v="300"/>
    <x v="10"/>
    <x v="1"/>
    <x v="0"/>
    <x v="0"/>
    <x v="1"/>
    <x v="1"/>
    <x v="6"/>
  </r>
  <r>
    <x v="855"/>
    <x v="10"/>
    <x v="1"/>
    <x v="0"/>
    <x v="0"/>
    <x v="0"/>
    <x v="1"/>
    <x v="2"/>
  </r>
  <r>
    <x v="164"/>
    <x v="10"/>
    <x v="1"/>
    <x v="2"/>
    <x v="0"/>
    <x v="4"/>
    <x v="0"/>
    <x v="5"/>
  </r>
  <r>
    <x v="268"/>
    <x v="11"/>
    <x v="3"/>
    <x v="1"/>
    <x v="0"/>
    <x v="0"/>
    <x v="5"/>
    <x v="15"/>
  </r>
  <r>
    <x v="520"/>
    <x v="11"/>
    <x v="2"/>
    <x v="4"/>
    <x v="0"/>
    <x v="1"/>
    <x v="2"/>
    <x v="12"/>
  </r>
  <r>
    <x v="592"/>
    <x v="11"/>
    <x v="3"/>
    <x v="4"/>
    <x v="1"/>
    <x v="0"/>
    <x v="2"/>
    <x v="7"/>
  </r>
  <r>
    <x v="538"/>
    <x v="11"/>
    <x v="4"/>
    <x v="0"/>
    <x v="0"/>
    <x v="1"/>
    <x v="1"/>
    <x v="6"/>
  </r>
  <r>
    <x v="788"/>
    <x v="11"/>
    <x v="4"/>
    <x v="0"/>
    <x v="0"/>
    <x v="2"/>
    <x v="1"/>
    <x v="8"/>
  </r>
  <r>
    <x v="192"/>
    <x v="12"/>
    <x v="3"/>
    <x v="0"/>
    <x v="1"/>
    <x v="3"/>
    <x v="1"/>
    <x v="9"/>
  </r>
  <r>
    <x v="211"/>
    <x v="12"/>
    <x v="2"/>
    <x v="2"/>
    <x v="1"/>
    <x v="3"/>
    <x v="0"/>
    <x v="4"/>
  </r>
  <r>
    <x v="495"/>
    <x v="13"/>
    <x v="0"/>
    <x v="0"/>
    <x v="0"/>
    <x v="3"/>
    <x v="1"/>
    <x v="9"/>
  </r>
  <r>
    <x v="969"/>
    <x v="13"/>
    <x v="3"/>
    <x v="5"/>
    <x v="0"/>
    <x v="0"/>
    <x v="3"/>
    <x v="10"/>
  </r>
  <r>
    <x v="705"/>
    <x v="13"/>
    <x v="4"/>
    <x v="0"/>
    <x v="1"/>
    <x v="2"/>
    <x v="1"/>
    <x v="8"/>
  </r>
  <r>
    <x v="351"/>
    <x v="13"/>
    <x v="3"/>
    <x v="2"/>
    <x v="1"/>
    <x v="1"/>
    <x v="0"/>
    <x v="1"/>
  </r>
  <r>
    <x v="618"/>
    <x v="13"/>
    <x v="4"/>
    <x v="4"/>
    <x v="0"/>
    <x v="0"/>
    <x v="2"/>
    <x v="7"/>
  </r>
  <r>
    <x v="863"/>
    <x v="13"/>
    <x v="4"/>
    <x v="2"/>
    <x v="0"/>
    <x v="1"/>
    <x v="0"/>
    <x v="1"/>
  </r>
  <r>
    <x v="817"/>
    <x v="13"/>
    <x v="3"/>
    <x v="2"/>
    <x v="1"/>
    <x v="2"/>
    <x v="0"/>
    <x v="3"/>
  </r>
  <r>
    <x v="190"/>
    <x v="14"/>
    <x v="3"/>
    <x v="1"/>
    <x v="0"/>
    <x v="1"/>
    <x v="5"/>
    <x v="17"/>
  </r>
  <r>
    <x v="6"/>
    <x v="14"/>
    <x v="1"/>
    <x v="4"/>
    <x v="0"/>
    <x v="0"/>
    <x v="2"/>
    <x v="7"/>
  </r>
  <r>
    <x v="250"/>
    <x v="14"/>
    <x v="4"/>
    <x v="0"/>
    <x v="0"/>
    <x v="0"/>
    <x v="1"/>
    <x v="2"/>
  </r>
  <r>
    <x v="837"/>
    <x v="14"/>
    <x v="2"/>
    <x v="4"/>
    <x v="1"/>
    <x v="1"/>
    <x v="2"/>
    <x v="12"/>
  </r>
  <r>
    <x v="413"/>
    <x v="14"/>
    <x v="3"/>
    <x v="4"/>
    <x v="1"/>
    <x v="1"/>
    <x v="2"/>
    <x v="12"/>
  </r>
  <r>
    <x v="84"/>
    <x v="14"/>
    <x v="2"/>
    <x v="4"/>
    <x v="1"/>
    <x v="0"/>
    <x v="2"/>
    <x v="7"/>
  </r>
  <r>
    <x v="375"/>
    <x v="14"/>
    <x v="2"/>
    <x v="4"/>
    <x v="0"/>
    <x v="1"/>
    <x v="2"/>
    <x v="12"/>
  </r>
  <r>
    <x v="865"/>
    <x v="15"/>
    <x v="3"/>
    <x v="2"/>
    <x v="1"/>
    <x v="2"/>
    <x v="0"/>
    <x v="3"/>
  </r>
  <r>
    <x v="166"/>
    <x v="15"/>
    <x v="3"/>
    <x v="5"/>
    <x v="0"/>
    <x v="1"/>
    <x v="3"/>
    <x v="14"/>
  </r>
  <r>
    <x v="990"/>
    <x v="15"/>
    <x v="4"/>
    <x v="0"/>
    <x v="0"/>
    <x v="0"/>
    <x v="1"/>
    <x v="2"/>
  </r>
  <r>
    <x v="233"/>
    <x v="15"/>
    <x v="3"/>
    <x v="1"/>
    <x v="0"/>
    <x v="0"/>
    <x v="5"/>
    <x v="15"/>
  </r>
  <r>
    <x v="639"/>
    <x v="15"/>
    <x v="2"/>
    <x v="5"/>
    <x v="0"/>
    <x v="1"/>
    <x v="3"/>
    <x v="14"/>
  </r>
  <r>
    <x v="127"/>
    <x v="16"/>
    <x v="2"/>
    <x v="0"/>
    <x v="1"/>
    <x v="3"/>
    <x v="1"/>
    <x v="9"/>
  </r>
  <r>
    <x v="42"/>
    <x v="16"/>
    <x v="2"/>
    <x v="0"/>
    <x v="0"/>
    <x v="2"/>
    <x v="1"/>
    <x v="8"/>
  </r>
  <r>
    <x v="903"/>
    <x v="16"/>
    <x v="3"/>
    <x v="1"/>
    <x v="1"/>
    <x v="1"/>
    <x v="5"/>
    <x v="17"/>
  </r>
  <r>
    <x v="886"/>
    <x v="16"/>
    <x v="0"/>
    <x v="5"/>
    <x v="1"/>
    <x v="1"/>
    <x v="3"/>
    <x v="14"/>
  </r>
  <r>
    <x v="743"/>
    <x v="16"/>
    <x v="3"/>
    <x v="4"/>
    <x v="0"/>
    <x v="0"/>
    <x v="2"/>
    <x v="7"/>
  </r>
  <r>
    <x v="735"/>
    <x v="16"/>
    <x v="0"/>
    <x v="5"/>
    <x v="1"/>
    <x v="0"/>
    <x v="3"/>
    <x v="10"/>
  </r>
  <r>
    <x v="960"/>
    <x v="16"/>
    <x v="3"/>
    <x v="4"/>
    <x v="0"/>
    <x v="1"/>
    <x v="2"/>
    <x v="12"/>
  </r>
  <r>
    <x v="540"/>
    <x v="16"/>
    <x v="4"/>
    <x v="2"/>
    <x v="0"/>
    <x v="1"/>
    <x v="0"/>
    <x v="1"/>
  </r>
  <r>
    <x v="167"/>
    <x v="16"/>
    <x v="0"/>
    <x v="2"/>
    <x v="0"/>
    <x v="4"/>
    <x v="0"/>
    <x v="5"/>
  </r>
  <r>
    <x v="919"/>
    <x v="17"/>
    <x v="4"/>
    <x v="1"/>
    <x v="1"/>
    <x v="0"/>
    <x v="5"/>
    <x v="15"/>
  </r>
  <r>
    <x v="18"/>
    <x v="17"/>
    <x v="2"/>
    <x v="4"/>
    <x v="1"/>
    <x v="0"/>
    <x v="2"/>
    <x v="7"/>
  </r>
  <r>
    <x v="430"/>
    <x v="17"/>
    <x v="4"/>
    <x v="5"/>
    <x v="1"/>
    <x v="0"/>
    <x v="3"/>
    <x v="10"/>
  </r>
  <r>
    <x v="637"/>
    <x v="17"/>
    <x v="3"/>
    <x v="0"/>
    <x v="0"/>
    <x v="1"/>
    <x v="1"/>
    <x v="6"/>
  </r>
  <r>
    <x v="297"/>
    <x v="18"/>
    <x v="4"/>
    <x v="0"/>
    <x v="0"/>
    <x v="2"/>
    <x v="1"/>
    <x v="8"/>
  </r>
  <r>
    <x v="285"/>
    <x v="18"/>
    <x v="2"/>
    <x v="0"/>
    <x v="1"/>
    <x v="3"/>
    <x v="1"/>
    <x v="9"/>
  </r>
  <r>
    <x v="162"/>
    <x v="18"/>
    <x v="3"/>
    <x v="4"/>
    <x v="1"/>
    <x v="0"/>
    <x v="2"/>
    <x v="7"/>
  </r>
  <r>
    <x v="842"/>
    <x v="18"/>
    <x v="2"/>
    <x v="4"/>
    <x v="0"/>
    <x v="0"/>
    <x v="2"/>
    <x v="7"/>
  </r>
  <r>
    <x v="997"/>
    <x v="19"/>
    <x v="2"/>
    <x v="4"/>
    <x v="0"/>
    <x v="0"/>
    <x v="2"/>
    <x v="7"/>
  </r>
  <r>
    <x v="154"/>
    <x v="19"/>
    <x v="2"/>
    <x v="2"/>
    <x v="1"/>
    <x v="1"/>
    <x v="0"/>
    <x v="1"/>
  </r>
  <r>
    <x v="650"/>
    <x v="19"/>
    <x v="0"/>
    <x v="4"/>
    <x v="0"/>
    <x v="0"/>
    <x v="2"/>
    <x v="7"/>
  </r>
  <r>
    <x v="555"/>
    <x v="19"/>
    <x v="2"/>
    <x v="4"/>
    <x v="1"/>
    <x v="1"/>
    <x v="2"/>
    <x v="12"/>
  </r>
  <r>
    <x v="505"/>
    <x v="19"/>
    <x v="3"/>
    <x v="3"/>
    <x v="0"/>
    <x v="1"/>
    <x v="4"/>
    <x v="16"/>
  </r>
  <r>
    <x v="454"/>
    <x v="19"/>
    <x v="0"/>
    <x v="4"/>
    <x v="0"/>
    <x v="0"/>
    <x v="2"/>
    <x v="7"/>
  </r>
  <r>
    <x v="86"/>
    <x v="19"/>
    <x v="3"/>
    <x v="3"/>
    <x v="0"/>
    <x v="0"/>
    <x v="4"/>
    <x v="13"/>
  </r>
  <r>
    <x v="548"/>
    <x v="19"/>
    <x v="1"/>
    <x v="2"/>
    <x v="1"/>
    <x v="3"/>
    <x v="0"/>
    <x v="4"/>
  </r>
  <r>
    <x v="293"/>
    <x v="20"/>
    <x v="1"/>
    <x v="5"/>
    <x v="1"/>
    <x v="0"/>
    <x v="3"/>
    <x v="10"/>
  </r>
  <r>
    <x v="593"/>
    <x v="20"/>
    <x v="3"/>
    <x v="5"/>
    <x v="1"/>
    <x v="1"/>
    <x v="3"/>
    <x v="14"/>
  </r>
  <r>
    <x v="964"/>
    <x v="20"/>
    <x v="3"/>
    <x v="0"/>
    <x v="0"/>
    <x v="0"/>
    <x v="1"/>
    <x v="2"/>
  </r>
  <r>
    <x v="28"/>
    <x v="21"/>
    <x v="3"/>
    <x v="5"/>
    <x v="0"/>
    <x v="1"/>
    <x v="3"/>
    <x v="14"/>
  </r>
  <r>
    <x v="337"/>
    <x v="21"/>
    <x v="3"/>
    <x v="1"/>
    <x v="0"/>
    <x v="0"/>
    <x v="5"/>
    <x v="15"/>
  </r>
  <r>
    <x v="251"/>
    <x v="21"/>
    <x v="0"/>
    <x v="3"/>
    <x v="0"/>
    <x v="1"/>
    <x v="4"/>
    <x v="16"/>
  </r>
  <r>
    <x v="565"/>
    <x v="21"/>
    <x v="4"/>
    <x v="2"/>
    <x v="0"/>
    <x v="2"/>
    <x v="0"/>
    <x v="3"/>
  </r>
  <r>
    <x v="492"/>
    <x v="21"/>
    <x v="1"/>
    <x v="0"/>
    <x v="1"/>
    <x v="0"/>
    <x v="1"/>
    <x v="2"/>
  </r>
  <r>
    <x v="444"/>
    <x v="21"/>
    <x v="2"/>
    <x v="1"/>
    <x v="0"/>
    <x v="0"/>
    <x v="5"/>
    <x v="15"/>
  </r>
  <r>
    <x v="497"/>
    <x v="21"/>
    <x v="4"/>
    <x v="5"/>
    <x v="0"/>
    <x v="0"/>
    <x v="3"/>
    <x v="10"/>
  </r>
  <r>
    <x v="595"/>
    <x v="22"/>
    <x v="2"/>
    <x v="5"/>
    <x v="0"/>
    <x v="1"/>
    <x v="3"/>
    <x v="14"/>
  </r>
  <r>
    <x v="869"/>
    <x v="22"/>
    <x v="1"/>
    <x v="5"/>
    <x v="0"/>
    <x v="1"/>
    <x v="3"/>
    <x v="14"/>
  </r>
  <r>
    <x v="824"/>
    <x v="22"/>
    <x v="2"/>
    <x v="2"/>
    <x v="0"/>
    <x v="3"/>
    <x v="0"/>
    <x v="4"/>
  </r>
  <r>
    <x v="311"/>
    <x v="23"/>
    <x v="4"/>
    <x v="2"/>
    <x v="0"/>
    <x v="1"/>
    <x v="0"/>
    <x v="1"/>
  </r>
  <r>
    <x v="911"/>
    <x v="23"/>
    <x v="2"/>
    <x v="2"/>
    <x v="0"/>
    <x v="1"/>
    <x v="0"/>
    <x v="1"/>
  </r>
  <r>
    <x v="316"/>
    <x v="23"/>
    <x v="4"/>
    <x v="0"/>
    <x v="1"/>
    <x v="4"/>
    <x v="1"/>
    <x v="11"/>
  </r>
  <r>
    <x v="766"/>
    <x v="23"/>
    <x v="0"/>
    <x v="2"/>
    <x v="0"/>
    <x v="0"/>
    <x v="0"/>
    <x v="0"/>
  </r>
  <r>
    <x v="979"/>
    <x v="23"/>
    <x v="3"/>
    <x v="1"/>
    <x v="0"/>
    <x v="0"/>
    <x v="5"/>
    <x v="15"/>
  </r>
  <r>
    <x v="227"/>
    <x v="23"/>
    <x v="2"/>
    <x v="0"/>
    <x v="0"/>
    <x v="4"/>
    <x v="1"/>
    <x v="11"/>
  </r>
  <r>
    <x v="686"/>
    <x v="23"/>
    <x v="0"/>
    <x v="2"/>
    <x v="1"/>
    <x v="0"/>
    <x v="0"/>
    <x v="0"/>
  </r>
  <r>
    <x v="638"/>
    <x v="23"/>
    <x v="2"/>
    <x v="4"/>
    <x v="0"/>
    <x v="0"/>
    <x v="2"/>
    <x v="7"/>
  </r>
  <r>
    <x v="931"/>
    <x v="24"/>
    <x v="3"/>
    <x v="2"/>
    <x v="1"/>
    <x v="2"/>
    <x v="0"/>
    <x v="3"/>
  </r>
  <r>
    <x v="206"/>
    <x v="24"/>
    <x v="4"/>
    <x v="4"/>
    <x v="0"/>
    <x v="0"/>
    <x v="2"/>
    <x v="7"/>
  </r>
  <r>
    <x v="203"/>
    <x v="24"/>
    <x v="2"/>
    <x v="4"/>
    <x v="0"/>
    <x v="1"/>
    <x v="2"/>
    <x v="12"/>
  </r>
  <r>
    <x v="284"/>
    <x v="24"/>
    <x v="3"/>
    <x v="5"/>
    <x v="0"/>
    <x v="1"/>
    <x v="3"/>
    <x v="14"/>
  </r>
  <r>
    <x v="366"/>
    <x v="24"/>
    <x v="1"/>
    <x v="0"/>
    <x v="0"/>
    <x v="1"/>
    <x v="1"/>
    <x v="6"/>
  </r>
  <r>
    <x v="792"/>
    <x v="25"/>
    <x v="4"/>
    <x v="4"/>
    <x v="0"/>
    <x v="0"/>
    <x v="2"/>
    <x v="7"/>
  </r>
  <r>
    <x v="552"/>
    <x v="25"/>
    <x v="2"/>
    <x v="2"/>
    <x v="1"/>
    <x v="3"/>
    <x v="0"/>
    <x v="4"/>
  </r>
  <r>
    <x v="489"/>
    <x v="25"/>
    <x v="3"/>
    <x v="0"/>
    <x v="1"/>
    <x v="0"/>
    <x v="1"/>
    <x v="2"/>
  </r>
  <r>
    <x v="568"/>
    <x v="25"/>
    <x v="0"/>
    <x v="1"/>
    <x v="0"/>
    <x v="1"/>
    <x v="5"/>
    <x v="17"/>
  </r>
  <r>
    <x v="440"/>
    <x v="26"/>
    <x v="1"/>
    <x v="0"/>
    <x v="1"/>
    <x v="2"/>
    <x v="1"/>
    <x v="8"/>
  </r>
  <r>
    <x v="38"/>
    <x v="26"/>
    <x v="2"/>
    <x v="0"/>
    <x v="1"/>
    <x v="4"/>
    <x v="1"/>
    <x v="11"/>
  </r>
  <r>
    <x v="310"/>
    <x v="26"/>
    <x v="3"/>
    <x v="5"/>
    <x v="1"/>
    <x v="1"/>
    <x v="3"/>
    <x v="14"/>
  </r>
  <r>
    <x v="685"/>
    <x v="26"/>
    <x v="4"/>
    <x v="4"/>
    <x v="1"/>
    <x v="0"/>
    <x v="2"/>
    <x v="7"/>
  </r>
  <r>
    <x v="588"/>
    <x v="26"/>
    <x v="3"/>
    <x v="3"/>
    <x v="0"/>
    <x v="0"/>
    <x v="4"/>
    <x v="13"/>
  </r>
  <r>
    <x v="871"/>
    <x v="26"/>
    <x v="3"/>
    <x v="0"/>
    <x v="1"/>
    <x v="2"/>
    <x v="1"/>
    <x v="8"/>
  </r>
  <r>
    <x v="208"/>
    <x v="26"/>
    <x v="3"/>
    <x v="4"/>
    <x v="1"/>
    <x v="1"/>
    <x v="2"/>
    <x v="12"/>
  </r>
  <r>
    <x v="751"/>
    <x v="26"/>
    <x v="3"/>
    <x v="3"/>
    <x v="0"/>
    <x v="0"/>
    <x v="4"/>
    <x v="13"/>
  </r>
  <r>
    <x v="704"/>
    <x v="26"/>
    <x v="2"/>
    <x v="5"/>
    <x v="0"/>
    <x v="0"/>
    <x v="3"/>
    <x v="10"/>
  </r>
  <r>
    <x v="456"/>
    <x v="27"/>
    <x v="2"/>
    <x v="0"/>
    <x v="0"/>
    <x v="4"/>
    <x v="1"/>
    <x v="11"/>
  </r>
  <r>
    <x v="952"/>
    <x v="27"/>
    <x v="3"/>
    <x v="4"/>
    <x v="1"/>
    <x v="0"/>
    <x v="2"/>
    <x v="7"/>
  </r>
  <r>
    <x v="701"/>
    <x v="27"/>
    <x v="4"/>
    <x v="4"/>
    <x v="0"/>
    <x v="0"/>
    <x v="2"/>
    <x v="7"/>
  </r>
  <r>
    <x v="779"/>
    <x v="27"/>
    <x v="2"/>
    <x v="0"/>
    <x v="0"/>
    <x v="4"/>
    <x v="1"/>
    <x v="11"/>
  </r>
  <r>
    <x v="324"/>
    <x v="28"/>
    <x v="2"/>
    <x v="1"/>
    <x v="1"/>
    <x v="0"/>
    <x v="5"/>
    <x v="15"/>
  </r>
  <r>
    <x v="938"/>
    <x v="28"/>
    <x v="1"/>
    <x v="4"/>
    <x v="0"/>
    <x v="1"/>
    <x v="2"/>
    <x v="12"/>
  </r>
  <r>
    <x v="36"/>
    <x v="28"/>
    <x v="3"/>
    <x v="4"/>
    <x v="1"/>
    <x v="0"/>
    <x v="2"/>
    <x v="7"/>
  </r>
  <r>
    <x v="96"/>
    <x v="28"/>
    <x v="2"/>
    <x v="0"/>
    <x v="1"/>
    <x v="1"/>
    <x v="1"/>
    <x v="6"/>
  </r>
  <r>
    <x v="381"/>
    <x v="29"/>
    <x v="1"/>
    <x v="0"/>
    <x v="1"/>
    <x v="1"/>
    <x v="1"/>
    <x v="6"/>
  </r>
  <r>
    <x v="999"/>
    <x v="29"/>
    <x v="2"/>
    <x v="0"/>
    <x v="1"/>
    <x v="4"/>
    <x v="1"/>
    <x v="11"/>
  </r>
  <r>
    <x v="153"/>
    <x v="29"/>
    <x v="2"/>
    <x v="4"/>
    <x v="0"/>
    <x v="0"/>
    <x v="2"/>
    <x v="7"/>
  </r>
  <r>
    <x v="503"/>
    <x v="29"/>
    <x v="3"/>
    <x v="4"/>
    <x v="1"/>
    <x v="0"/>
    <x v="2"/>
    <x v="7"/>
  </r>
  <r>
    <x v="20"/>
    <x v="29"/>
    <x v="3"/>
    <x v="0"/>
    <x v="0"/>
    <x v="3"/>
    <x v="1"/>
    <x v="9"/>
  </r>
  <r>
    <x v="52"/>
    <x v="29"/>
    <x v="3"/>
    <x v="4"/>
    <x v="0"/>
    <x v="0"/>
    <x v="2"/>
    <x v="7"/>
  </r>
  <r>
    <x v="697"/>
    <x v="29"/>
    <x v="3"/>
    <x v="5"/>
    <x v="0"/>
    <x v="0"/>
    <x v="3"/>
    <x v="10"/>
  </r>
  <r>
    <x v="723"/>
    <x v="30"/>
    <x v="1"/>
    <x v="4"/>
    <x v="1"/>
    <x v="1"/>
    <x v="2"/>
    <x v="12"/>
  </r>
  <r>
    <x v="656"/>
    <x v="30"/>
    <x v="1"/>
    <x v="5"/>
    <x v="0"/>
    <x v="1"/>
    <x v="3"/>
    <x v="14"/>
  </r>
  <r>
    <x v="563"/>
    <x v="30"/>
    <x v="3"/>
    <x v="2"/>
    <x v="0"/>
    <x v="1"/>
    <x v="0"/>
    <x v="1"/>
  </r>
  <r>
    <x v="355"/>
    <x v="30"/>
    <x v="3"/>
    <x v="4"/>
    <x v="1"/>
    <x v="1"/>
    <x v="2"/>
    <x v="12"/>
  </r>
  <r>
    <x v="128"/>
    <x v="31"/>
    <x v="3"/>
    <x v="2"/>
    <x v="1"/>
    <x v="4"/>
    <x v="0"/>
    <x v="5"/>
  </r>
  <r>
    <x v="858"/>
    <x v="31"/>
    <x v="3"/>
    <x v="0"/>
    <x v="1"/>
    <x v="1"/>
    <x v="1"/>
    <x v="6"/>
  </r>
  <r>
    <x v="342"/>
    <x v="31"/>
    <x v="2"/>
    <x v="1"/>
    <x v="0"/>
    <x v="0"/>
    <x v="5"/>
    <x v="15"/>
  </r>
  <r>
    <x v="762"/>
    <x v="31"/>
    <x v="3"/>
    <x v="5"/>
    <x v="0"/>
    <x v="1"/>
    <x v="3"/>
    <x v="14"/>
  </r>
  <r>
    <x v="182"/>
    <x v="31"/>
    <x v="3"/>
    <x v="0"/>
    <x v="0"/>
    <x v="2"/>
    <x v="1"/>
    <x v="8"/>
  </r>
  <r>
    <x v="1"/>
    <x v="32"/>
    <x v="3"/>
    <x v="5"/>
    <x v="0"/>
    <x v="1"/>
    <x v="3"/>
    <x v="14"/>
  </r>
  <r>
    <x v="965"/>
    <x v="32"/>
    <x v="3"/>
    <x v="3"/>
    <x v="1"/>
    <x v="0"/>
    <x v="4"/>
    <x v="13"/>
  </r>
  <r>
    <x v="15"/>
    <x v="32"/>
    <x v="2"/>
    <x v="2"/>
    <x v="1"/>
    <x v="0"/>
    <x v="0"/>
    <x v="0"/>
  </r>
  <r>
    <x v="439"/>
    <x v="32"/>
    <x v="1"/>
    <x v="4"/>
    <x v="1"/>
    <x v="0"/>
    <x v="2"/>
    <x v="7"/>
  </r>
  <r>
    <x v="362"/>
    <x v="32"/>
    <x v="2"/>
    <x v="3"/>
    <x v="0"/>
    <x v="1"/>
    <x v="4"/>
    <x v="16"/>
  </r>
  <r>
    <x v="395"/>
    <x v="32"/>
    <x v="1"/>
    <x v="0"/>
    <x v="0"/>
    <x v="2"/>
    <x v="1"/>
    <x v="8"/>
  </r>
  <r>
    <x v="317"/>
    <x v="33"/>
    <x v="2"/>
    <x v="2"/>
    <x v="0"/>
    <x v="1"/>
    <x v="0"/>
    <x v="1"/>
  </r>
  <r>
    <x v="760"/>
    <x v="33"/>
    <x v="3"/>
    <x v="2"/>
    <x v="1"/>
    <x v="3"/>
    <x v="0"/>
    <x v="4"/>
  </r>
  <r>
    <x v="768"/>
    <x v="33"/>
    <x v="2"/>
    <x v="2"/>
    <x v="1"/>
    <x v="3"/>
    <x v="0"/>
    <x v="4"/>
  </r>
  <r>
    <x v="621"/>
    <x v="33"/>
    <x v="4"/>
    <x v="1"/>
    <x v="1"/>
    <x v="1"/>
    <x v="5"/>
    <x v="17"/>
  </r>
  <r>
    <x v="95"/>
    <x v="34"/>
    <x v="0"/>
    <x v="3"/>
    <x v="1"/>
    <x v="1"/>
    <x v="4"/>
    <x v="16"/>
  </r>
  <r>
    <x v="260"/>
    <x v="34"/>
    <x v="4"/>
    <x v="2"/>
    <x v="0"/>
    <x v="0"/>
    <x v="0"/>
    <x v="0"/>
  </r>
  <r>
    <x v="609"/>
    <x v="34"/>
    <x v="3"/>
    <x v="5"/>
    <x v="1"/>
    <x v="0"/>
    <x v="3"/>
    <x v="10"/>
  </r>
  <r>
    <x v="144"/>
    <x v="34"/>
    <x v="2"/>
    <x v="5"/>
    <x v="0"/>
    <x v="0"/>
    <x v="3"/>
    <x v="10"/>
  </r>
  <r>
    <x v="183"/>
    <x v="34"/>
    <x v="0"/>
    <x v="4"/>
    <x v="0"/>
    <x v="1"/>
    <x v="2"/>
    <x v="12"/>
  </r>
  <r>
    <x v="631"/>
    <x v="34"/>
    <x v="3"/>
    <x v="2"/>
    <x v="1"/>
    <x v="4"/>
    <x v="0"/>
    <x v="5"/>
  </r>
  <r>
    <x v="53"/>
    <x v="35"/>
    <x v="3"/>
    <x v="2"/>
    <x v="1"/>
    <x v="1"/>
    <x v="0"/>
    <x v="1"/>
  </r>
  <r>
    <x v="945"/>
    <x v="35"/>
    <x v="3"/>
    <x v="0"/>
    <x v="1"/>
    <x v="0"/>
    <x v="1"/>
    <x v="2"/>
  </r>
  <r>
    <x v="891"/>
    <x v="35"/>
    <x v="3"/>
    <x v="0"/>
    <x v="1"/>
    <x v="3"/>
    <x v="1"/>
    <x v="9"/>
  </r>
  <r>
    <x v="630"/>
    <x v="35"/>
    <x v="1"/>
    <x v="2"/>
    <x v="0"/>
    <x v="3"/>
    <x v="0"/>
    <x v="4"/>
  </r>
  <r>
    <x v="994"/>
    <x v="36"/>
    <x v="2"/>
    <x v="1"/>
    <x v="1"/>
    <x v="1"/>
    <x v="5"/>
    <x v="17"/>
  </r>
  <r>
    <x v="984"/>
    <x v="36"/>
    <x v="2"/>
    <x v="4"/>
    <x v="1"/>
    <x v="0"/>
    <x v="2"/>
    <x v="7"/>
  </r>
  <r>
    <x v="534"/>
    <x v="36"/>
    <x v="0"/>
    <x v="2"/>
    <x v="1"/>
    <x v="0"/>
    <x v="0"/>
    <x v="0"/>
  </r>
  <r>
    <x v="695"/>
    <x v="36"/>
    <x v="3"/>
    <x v="0"/>
    <x v="0"/>
    <x v="0"/>
    <x v="1"/>
    <x v="2"/>
  </r>
  <r>
    <x v="531"/>
    <x v="36"/>
    <x v="4"/>
    <x v="0"/>
    <x v="1"/>
    <x v="4"/>
    <x v="1"/>
    <x v="11"/>
  </r>
  <r>
    <x v="463"/>
    <x v="36"/>
    <x v="1"/>
    <x v="1"/>
    <x v="1"/>
    <x v="0"/>
    <x v="5"/>
    <x v="15"/>
  </r>
  <r>
    <x v="418"/>
    <x v="36"/>
    <x v="2"/>
    <x v="4"/>
    <x v="1"/>
    <x v="1"/>
    <x v="2"/>
    <x v="12"/>
  </r>
  <r>
    <x v="421"/>
    <x v="37"/>
    <x v="3"/>
    <x v="4"/>
    <x v="0"/>
    <x v="1"/>
    <x v="2"/>
    <x v="12"/>
  </r>
  <r>
    <x v="962"/>
    <x v="37"/>
    <x v="2"/>
    <x v="0"/>
    <x v="1"/>
    <x v="0"/>
    <x v="1"/>
    <x v="2"/>
  </r>
  <r>
    <x v="405"/>
    <x v="37"/>
    <x v="3"/>
    <x v="2"/>
    <x v="0"/>
    <x v="2"/>
    <x v="0"/>
    <x v="3"/>
  </r>
  <r>
    <x v="905"/>
    <x v="37"/>
    <x v="4"/>
    <x v="1"/>
    <x v="1"/>
    <x v="0"/>
    <x v="5"/>
    <x v="15"/>
  </r>
  <r>
    <x v="68"/>
    <x v="37"/>
    <x v="1"/>
    <x v="0"/>
    <x v="1"/>
    <x v="0"/>
    <x v="1"/>
    <x v="2"/>
  </r>
  <r>
    <x v="61"/>
    <x v="37"/>
    <x v="3"/>
    <x v="4"/>
    <x v="1"/>
    <x v="1"/>
    <x v="2"/>
    <x v="12"/>
  </r>
  <r>
    <x v="341"/>
    <x v="37"/>
    <x v="2"/>
    <x v="4"/>
    <x v="1"/>
    <x v="0"/>
    <x v="2"/>
    <x v="7"/>
  </r>
  <r>
    <x v="821"/>
    <x v="38"/>
    <x v="4"/>
    <x v="2"/>
    <x v="0"/>
    <x v="1"/>
    <x v="0"/>
    <x v="1"/>
  </r>
  <r>
    <x v="739"/>
    <x v="38"/>
    <x v="1"/>
    <x v="4"/>
    <x v="0"/>
    <x v="0"/>
    <x v="2"/>
    <x v="7"/>
  </r>
  <r>
    <x v="415"/>
    <x v="38"/>
    <x v="2"/>
    <x v="5"/>
    <x v="0"/>
    <x v="0"/>
    <x v="3"/>
    <x v="10"/>
  </r>
  <r>
    <x v="291"/>
    <x v="39"/>
    <x v="2"/>
    <x v="4"/>
    <x v="1"/>
    <x v="1"/>
    <x v="2"/>
    <x v="12"/>
  </r>
  <r>
    <x v="801"/>
    <x v="39"/>
    <x v="2"/>
    <x v="2"/>
    <x v="1"/>
    <x v="3"/>
    <x v="0"/>
    <x v="4"/>
  </r>
  <r>
    <x v="269"/>
    <x v="39"/>
    <x v="2"/>
    <x v="4"/>
    <x v="0"/>
    <x v="1"/>
    <x v="2"/>
    <x v="12"/>
  </r>
  <r>
    <x v="895"/>
    <x v="39"/>
    <x v="4"/>
    <x v="0"/>
    <x v="0"/>
    <x v="0"/>
    <x v="1"/>
    <x v="2"/>
  </r>
  <r>
    <x v="754"/>
    <x v="39"/>
    <x v="2"/>
    <x v="3"/>
    <x v="0"/>
    <x v="1"/>
    <x v="4"/>
    <x v="16"/>
  </r>
  <r>
    <x v="917"/>
    <x v="40"/>
    <x v="3"/>
    <x v="4"/>
    <x v="1"/>
    <x v="0"/>
    <x v="2"/>
    <x v="7"/>
  </r>
  <r>
    <x v="878"/>
    <x v="40"/>
    <x v="2"/>
    <x v="5"/>
    <x v="1"/>
    <x v="1"/>
    <x v="3"/>
    <x v="14"/>
  </r>
  <r>
    <x v="364"/>
    <x v="40"/>
    <x v="0"/>
    <x v="0"/>
    <x v="0"/>
    <x v="3"/>
    <x v="1"/>
    <x v="9"/>
  </r>
  <r>
    <x v="596"/>
    <x v="40"/>
    <x v="2"/>
    <x v="2"/>
    <x v="0"/>
    <x v="4"/>
    <x v="0"/>
    <x v="5"/>
  </r>
  <r>
    <x v="508"/>
    <x v="40"/>
    <x v="3"/>
    <x v="2"/>
    <x v="0"/>
    <x v="1"/>
    <x v="0"/>
    <x v="1"/>
  </r>
  <r>
    <x v="39"/>
    <x v="40"/>
    <x v="4"/>
    <x v="4"/>
    <x v="0"/>
    <x v="1"/>
    <x v="2"/>
    <x v="12"/>
  </r>
  <r>
    <x v="89"/>
    <x v="41"/>
    <x v="3"/>
    <x v="4"/>
    <x v="1"/>
    <x v="1"/>
    <x v="2"/>
    <x v="12"/>
  </r>
  <r>
    <x v="376"/>
    <x v="41"/>
    <x v="3"/>
    <x v="1"/>
    <x v="0"/>
    <x v="0"/>
    <x v="5"/>
    <x v="15"/>
  </r>
  <r>
    <x v="237"/>
    <x v="41"/>
    <x v="3"/>
    <x v="0"/>
    <x v="0"/>
    <x v="4"/>
    <x v="1"/>
    <x v="11"/>
  </r>
  <r>
    <x v="934"/>
    <x v="41"/>
    <x v="0"/>
    <x v="1"/>
    <x v="1"/>
    <x v="0"/>
    <x v="5"/>
    <x v="15"/>
  </r>
  <r>
    <x v="929"/>
    <x v="41"/>
    <x v="2"/>
    <x v="2"/>
    <x v="0"/>
    <x v="0"/>
    <x v="0"/>
    <x v="0"/>
  </r>
  <r>
    <x v="498"/>
    <x v="41"/>
    <x v="2"/>
    <x v="5"/>
    <x v="1"/>
    <x v="1"/>
    <x v="3"/>
    <x v="14"/>
  </r>
  <r>
    <x v="961"/>
    <x v="41"/>
    <x v="3"/>
    <x v="1"/>
    <x v="0"/>
    <x v="1"/>
    <x v="5"/>
    <x v="17"/>
  </r>
  <r>
    <x v="524"/>
    <x v="42"/>
    <x v="3"/>
    <x v="5"/>
    <x v="0"/>
    <x v="0"/>
    <x v="3"/>
    <x v="10"/>
  </r>
  <r>
    <x v="757"/>
    <x v="42"/>
    <x v="2"/>
    <x v="4"/>
    <x v="0"/>
    <x v="0"/>
    <x v="2"/>
    <x v="7"/>
  </r>
  <r>
    <x v="851"/>
    <x v="42"/>
    <x v="2"/>
    <x v="5"/>
    <x v="0"/>
    <x v="1"/>
    <x v="3"/>
    <x v="14"/>
  </r>
  <r>
    <x v="499"/>
    <x v="42"/>
    <x v="4"/>
    <x v="4"/>
    <x v="1"/>
    <x v="1"/>
    <x v="2"/>
    <x v="12"/>
  </r>
  <r>
    <x v="197"/>
    <x v="42"/>
    <x v="1"/>
    <x v="4"/>
    <x v="1"/>
    <x v="1"/>
    <x v="2"/>
    <x v="12"/>
  </r>
  <r>
    <x v="325"/>
    <x v="43"/>
    <x v="4"/>
    <x v="4"/>
    <x v="0"/>
    <x v="1"/>
    <x v="2"/>
    <x v="12"/>
  </r>
  <r>
    <x v="812"/>
    <x v="43"/>
    <x v="4"/>
    <x v="0"/>
    <x v="0"/>
    <x v="4"/>
    <x v="1"/>
    <x v="11"/>
  </r>
  <r>
    <x v="424"/>
    <x v="43"/>
    <x v="3"/>
    <x v="4"/>
    <x v="1"/>
    <x v="0"/>
    <x v="2"/>
    <x v="7"/>
  </r>
  <r>
    <x v="586"/>
    <x v="43"/>
    <x v="1"/>
    <x v="4"/>
    <x v="0"/>
    <x v="1"/>
    <x v="2"/>
    <x v="12"/>
  </r>
  <r>
    <x v="312"/>
    <x v="43"/>
    <x v="3"/>
    <x v="2"/>
    <x v="1"/>
    <x v="0"/>
    <x v="0"/>
    <x v="0"/>
  </r>
  <r>
    <x v="752"/>
    <x v="43"/>
    <x v="2"/>
    <x v="2"/>
    <x v="1"/>
    <x v="0"/>
    <x v="0"/>
    <x v="0"/>
  </r>
  <r>
    <x v="307"/>
    <x v="43"/>
    <x v="4"/>
    <x v="2"/>
    <x v="1"/>
    <x v="4"/>
    <x v="0"/>
    <x v="5"/>
  </r>
  <r>
    <x v="710"/>
    <x v="43"/>
    <x v="1"/>
    <x v="2"/>
    <x v="0"/>
    <x v="4"/>
    <x v="0"/>
    <x v="5"/>
  </r>
  <r>
    <x v="290"/>
    <x v="43"/>
    <x v="3"/>
    <x v="1"/>
    <x v="0"/>
    <x v="1"/>
    <x v="5"/>
    <x v="17"/>
  </r>
  <r>
    <x v="186"/>
    <x v="44"/>
    <x v="0"/>
    <x v="2"/>
    <x v="0"/>
    <x v="2"/>
    <x v="0"/>
    <x v="3"/>
  </r>
  <r>
    <x v="688"/>
    <x v="44"/>
    <x v="4"/>
    <x v="0"/>
    <x v="1"/>
    <x v="3"/>
    <x v="1"/>
    <x v="9"/>
  </r>
  <r>
    <x v="974"/>
    <x v="44"/>
    <x v="0"/>
    <x v="4"/>
    <x v="0"/>
    <x v="1"/>
    <x v="2"/>
    <x v="12"/>
  </r>
  <r>
    <x v="722"/>
    <x v="45"/>
    <x v="3"/>
    <x v="0"/>
    <x v="0"/>
    <x v="3"/>
    <x v="1"/>
    <x v="9"/>
  </r>
  <r>
    <x v="803"/>
    <x v="45"/>
    <x v="3"/>
    <x v="2"/>
    <x v="0"/>
    <x v="3"/>
    <x v="0"/>
    <x v="4"/>
  </r>
  <r>
    <x v="748"/>
    <x v="45"/>
    <x v="3"/>
    <x v="4"/>
    <x v="0"/>
    <x v="0"/>
    <x v="2"/>
    <x v="7"/>
  </r>
  <r>
    <x v="773"/>
    <x v="45"/>
    <x v="3"/>
    <x v="4"/>
    <x v="0"/>
    <x v="0"/>
    <x v="2"/>
    <x v="7"/>
  </r>
  <r>
    <x v="594"/>
    <x v="45"/>
    <x v="2"/>
    <x v="3"/>
    <x v="1"/>
    <x v="0"/>
    <x v="4"/>
    <x v="13"/>
  </r>
  <r>
    <x v="328"/>
    <x v="46"/>
    <x v="2"/>
    <x v="2"/>
    <x v="1"/>
    <x v="1"/>
    <x v="0"/>
    <x v="1"/>
  </r>
  <r>
    <x v="184"/>
    <x v="46"/>
    <x v="2"/>
    <x v="4"/>
    <x v="0"/>
    <x v="0"/>
    <x v="2"/>
    <x v="7"/>
  </r>
  <r>
    <x v="134"/>
    <x v="46"/>
    <x v="3"/>
    <x v="2"/>
    <x v="0"/>
    <x v="0"/>
    <x v="0"/>
    <x v="0"/>
  </r>
  <r>
    <x v="774"/>
    <x v="46"/>
    <x v="3"/>
    <x v="2"/>
    <x v="1"/>
    <x v="4"/>
    <x v="0"/>
    <x v="5"/>
  </r>
  <r>
    <x v="256"/>
    <x v="46"/>
    <x v="2"/>
    <x v="0"/>
    <x v="0"/>
    <x v="1"/>
    <x v="1"/>
    <x v="6"/>
  </r>
  <r>
    <x v="957"/>
    <x v="46"/>
    <x v="3"/>
    <x v="2"/>
    <x v="0"/>
    <x v="3"/>
    <x v="0"/>
    <x v="4"/>
  </r>
  <r>
    <x v="425"/>
    <x v="47"/>
    <x v="4"/>
    <x v="0"/>
    <x v="1"/>
    <x v="2"/>
    <x v="1"/>
    <x v="8"/>
  </r>
  <r>
    <x v="85"/>
    <x v="47"/>
    <x v="3"/>
    <x v="4"/>
    <x v="0"/>
    <x v="0"/>
    <x v="2"/>
    <x v="7"/>
  </r>
  <r>
    <x v="314"/>
    <x v="48"/>
    <x v="3"/>
    <x v="1"/>
    <x v="1"/>
    <x v="0"/>
    <x v="5"/>
    <x v="15"/>
  </r>
  <r>
    <x v="299"/>
    <x v="48"/>
    <x v="4"/>
    <x v="5"/>
    <x v="1"/>
    <x v="0"/>
    <x v="3"/>
    <x v="10"/>
  </r>
  <r>
    <x v="433"/>
    <x v="48"/>
    <x v="3"/>
    <x v="2"/>
    <x v="0"/>
    <x v="4"/>
    <x v="0"/>
    <x v="5"/>
  </r>
  <r>
    <x v="156"/>
    <x v="48"/>
    <x v="2"/>
    <x v="2"/>
    <x v="1"/>
    <x v="2"/>
    <x v="0"/>
    <x v="3"/>
  </r>
  <r>
    <x v="422"/>
    <x v="49"/>
    <x v="1"/>
    <x v="2"/>
    <x v="1"/>
    <x v="0"/>
    <x v="0"/>
    <x v="0"/>
  </r>
  <r>
    <x v="369"/>
    <x v="49"/>
    <x v="3"/>
    <x v="4"/>
    <x v="0"/>
    <x v="0"/>
    <x v="2"/>
    <x v="7"/>
  </r>
  <r>
    <x v="902"/>
    <x v="49"/>
    <x v="2"/>
    <x v="0"/>
    <x v="0"/>
    <x v="2"/>
    <x v="1"/>
    <x v="8"/>
  </r>
  <r>
    <x v="44"/>
    <x v="49"/>
    <x v="1"/>
    <x v="0"/>
    <x v="0"/>
    <x v="1"/>
    <x v="1"/>
    <x v="6"/>
  </r>
  <r>
    <x v="574"/>
    <x v="50"/>
    <x v="0"/>
    <x v="4"/>
    <x v="1"/>
    <x v="1"/>
    <x v="2"/>
    <x v="12"/>
  </r>
  <r>
    <x v="322"/>
    <x v="50"/>
    <x v="4"/>
    <x v="3"/>
    <x v="0"/>
    <x v="0"/>
    <x v="4"/>
    <x v="13"/>
  </r>
  <r>
    <x v="784"/>
    <x v="50"/>
    <x v="4"/>
    <x v="0"/>
    <x v="1"/>
    <x v="0"/>
    <x v="1"/>
    <x v="2"/>
  </r>
  <r>
    <x v="431"/>
    <x v="50"/>
    <x v="3"/>
    <x v="0"/>
    <x v="0"/>
    <x v="4"/>
    <x v="1"/>
    <x v="11"/>
  </r>
  <r>
    <x v="306"/>
    <x v="50"/>
    <x v="2"/>
    <x v="0"/>
    <x v="0"/>
    <x v="2"/>
    <x v="1"/>
    <x v="8"/>
  </r>
  <r>
    <x v="37"/>
    <x v="50"/>
    <x v="4"/>
    <x v="3"/>
    <x v="0"/>
    <x v="1"/>
    <x v="4"/>
    <x v="16"/>
  </r>
  <r>
    <x v="161"/>
    <x v="50"/>
    <x v="3"/>
    <x v="0"/>
    <x v="0"/>
    <x v="3"/>
    <x v="1"/>
    <x v="9"/>
  </r>
  <r>
    <x v="229"/>
    <x v="50"/>
    <x v="2"/>
    <x v="4"/>
    <x v="1"/>
    <x v="1"/>
    <x v="2"/>
    <x v="12"/>
  </r>
  <r>
    <x v="486"/>
    <x v="50"/>
    <x v="2"/>
    <x v="3"/>
    <x v="1"/>
    <x v="1"/>
    <x v="4"/>
    <x v="16"/>
  </r>
  <r>
    <x v="212"/>
    <x v="51"/>
    <x v="0"/>
    <x v="1"/>
    <x v="0"/>
    <x v="1"/>
    <x v="5"/>
    <x v="17"/>
  </r>
  <r>
    <x v="793"/>
    <x v="51"/>
    <x v="0"/>
    <x v="5"/>
    <x v="0"/>
    <x v="0"/>
    <x v="3"/>
    <x v="10"/>
  </r>
  <r>
    <x v="717"/>
    <x v="51"/>
    <x v="1"/>
    <x v="5"/>
    <x v="0"/>
    <x v="1"/>
    <x v="3"/>
    <x v="14"/>
  </r>
  <r>
    <x v="24"/>
    <x v="51"/>
    <x v="0"/>
    <x v="4"/>
    <x v="1"/>
    <x v="1"/>
    <x v="2"/>
    <x v="12"/>
  </r>
  <r>
    <x v="610"/>
    <x v="51"/>
    <x v="4"/>
    <x v="2"/>
    <x v="0"/>
    <x v="3"/>
    <x v="0"/>
    <x v="4"/>
  </r>
  <r>
    <x v="846"/>
    <x v="51"/>
    <x v="2"/>
    <x v="4"/>
    <x v="0"/>
    <x v="0"/>
    <x v="2"/>
    <x v="7"/>
  </r>
  <r>
    <x v="889"/>
    <x v="52"/>
    <x v="3"/>
    <x v="0"/>
    <x v="1"/>
    <x v="1"/>
    <x v="1"/>
    <x v="6"/>
  </r>
  <r>
    <x v="397"/>
    <x v="52"/>
    <x v="1"/>
    <x v="0"/>
    <x v="1"/>
    <x v="0"/>
    <x v="1"/>
    <x v="2"/>
  </r>
  <r>
    <x v="254"/>
    <x v="52"/>
    <x v="2"/>
    <x v="1"/>
    <x v="0"/>
    <x v="1"/>
    <x v="5"/>
    <x v="17"/>
  </r>
  <r>
    <x v="354"/>
    <x v="52"/>
    <x v="1"/>
    <x v="4"/>
    <x v="1"/>
    <x v="0"/>
    <x v="2"/>
    <x v="7"/>
  </r>
  <r>
    <x v="849"/>
    <x v="52"/>
    <x v="3"/>
    <x v="4"/>
    <x v="1"/>
    <x v="0"/>
    <x v="2"/>
    <x v="7"/>
  </r>
  <r>
    <x v="644"/>
    <x v="53"/>
    <x v="4"/>
    <x v="0"/>
    <x v="1"/>
    <x v="2"/>
    <x v="1"/>
    <x v="8"/>
  </r>
  <r>
    <x v="159"/>
    <x v="53"/>
    <x v="2"/>
    <x v="2"/>
    <x v="0"/>
    <x v="1"/>
    <x v="0"/>
    <x v="1"/>
  </r>
  <r>
    <x v="713"/>
    <x v="53"/>
    <x v="3"/>
    <x v="1"/>
    <x v="1"/>
    <x v="1"/>
    <x v="5"/>
    <x v="17"/>
  </r>
  <r>
    <x v="473"/>
    <x v="53"/>
    <x v="1"/>
    <x v="1"/>
    <x v="0"/>
    <x v="0"/>
    <x v="5"/>
    <x v="15"/>
  </r>
  <r>
    <x v="528"/>
    <x v="53"/>
    <x v="0"/>
    <x v="2"/>
    <x v="1"/>
    <x v="2"/>
    <x v="0"/>
    <x v="3"/>
  </r>
  <r>
    <x v="152"/>
    <x v="53"/>
    <x v="1"/>
    <x v="4"/>
    <x v="1"/>
    <x v="1"/>
    <x v="2"/>
    <x v="12"/>
  </r>
  <r>
    <x v="359"/>
    <x v="53"/>
    <x v="0"/>
    <x v="4"/>
    <x v="0"/>
    <x v="0"/>
    <x v="2"/>
    <x v="7"/>
  </r>
  <r>
    <x v="19"/>
    <x v="53"/>
    <x v="1"/>
    <x v="3"/>
    <x v="1"/>
    <x v="1"/>
    <x v="4"/>
    <x v="16"/>
  </r>
  <r>
    <x v="180"/>
    <x v="54"/>
    <x v="3"/>
    <x v="5"/>
    <x v="0"/>
    <x v="0"/>
    <x v="3"/>
    <x v="10"/>
  </r>
  <r>
    <x v="875"/>
    <x v="54"/>
    <x v="3"/>
    <x v="2"/>
    <x v="1"/>
    <x v="2"/>
    <x v="0"/>
    <x v="3"/>
  </r>
  <r>
    <x v="126"/>
    <x v="54"/>
    <x v="2"/>
    <x v="5"/>
    <x v="1"/>
    <x v="0"/>
    <x v="3"/>
    <x v="10"/>
  </r>
  <r>
    <x v="356"/>
    <x v="54"/>
    <x v="3"/>
    <x v="2"/>
    <x v="0"/>
    <x v="1"/>
    <x v="0"/>
    <x v="1"/>
  </r>
  <r>
    <x v="59"/>
    <x v="54"/>
    <x v="2"/>
    <x v="4"/>
    <x v="0"/>
    <x v="0"/>
    <x v="2"/>
    <x v="7"/>
  </r>
  <r>
    <x v="771"/>
    <x v="55"/>
    <x v="4"/>
    <x v="1"/>
    <x v="0"/>
    <x v="1"/>
    <x v="5"/>
    <x v="17"/>
  </r>
  <r>
    <x v="736"/>
    <x v="55"/>
    <x v="2"/>
    <x v="4"/>
    <x v="0"/>
    <x v="1"/>
    <x v="2"/>
    <x v="12"/>
  </r>
  <r>
    <x v="576"/>
    <x v="55"/>
    <x v="2"/>
    <x v="4"/>
    <x v="1"/>
    <x v="0"/>
    <x v="2"/>
    <x v="7"/>
  </r>
  <r>
    <x v="664"/>
    <x v="56"/>
    <x v="3"/>
    <x v="3"/>
    <x v="0"/>
    <x v="1"/>
    <x v="4"/>
    <x v="16"/>
  </r>
  <r>
    <x v="451"/>
    <x v="56"/>
    <x v="3"/>
    <x v="3"/>
    <x v="1"/>
    <x v="1"/>
    <x v="4"/>
    <x v="16"/>
  </r>
  <r>
    <x v="83"/>
    <x v="56"/>
    <x v="1"/>
    <x v="0"/>
    <x v="0"/>
    <x v="1"/>
    <x v="1"/>
    <x v="6"/>
  </r>
  <r>
    <x v="139"/>
    <x v="56"/>
    <x v="0"/>
    <x v="4"/>
    <x v="0"/>
    <x v="0"/>
    <x v="2"/>
    <x v="7"/>
  </r>
  <r>
    <x v="790"/>
    <x v="56"/>
    <x v="3"/>
    <x v="4"/>
    <x v="1"/>
    <x v="1"/>
    <x v="2"/>
    <x v="12"/>
  </r>
  <r>
    <x v="718"/>
    <x v="56"/>
    <x v="3"/>
    <x v="2"/>
    <x v="0"/>
    <x v="0"/>
    <x v="0"/>
    <x v="0"/>
  </r>
  <r>
    <x v="249"/>
    <x v="56"/>
    <x v="3"/>
    <x v="2"/>
    <x v="1"/>
    <x v="4"/>
    <x v="0"/>
    <x v="5"/>
  </r>
  <r>
    <x v="724"/>
    <x v="56"/>
    <x v="1"/>
    <x v="4"/>
    <x v="1"/>
    <x v="1"/>
    <x v="2"/>
    <x v="12"/>
  </r>
  <r>
    <x v="661"/>
    <x v="56"/>
    <x v="2"/>
    <x v="3"/>
    <x v="0"/>
    <x v="1"/>
    <x v="4"/>
    <x v="16"/>
  </r>
  <r>
    <x v="458"/>
    <x v="56"/>
    <x v="2"/>
    <x v="5"/>
    <x v="0"/>
    <x v="0"/>
    <x v="3"/>
    <x v="10"/>
  </r>
  <r>
    <x v="653"/>
    <x v="57"/>
    <x v="3"/>
    <x v="2"/>
    <x v="0"/>
    <x v="2"/>
    <x v="0"/>
    <x v="3"/>
  </r>
  <r>
    <x v="247"/>
    <x v="57"/>
    <x v="2"/>
    <x v="3"/>
    <x v="0"/>
    <x v="1"/>
    <x v="4"/>
    <x v="16"/>
  </r>
  <r>
    <x v="742"/>
    <x v="57"/>
    <x v="2"/>
    <x v="2"/>
    <x v="0"/>
    <x v="1"/>
    <x v="0"/>
    <x v="1"/>
  </r>
  <r>
    <x v="611"/>
    <x v="57"/>
    <x v="2"/>
    <x v="2"/>
    <x v="0"/>
    <x v="2"/>
    <x v="0"/>
    <x v="3"/>
  </r>
  <r>
    <x v="79"/>
    <x v="57"/>
    <x v="1"/>
    <x v="0"/>
    <x v="1"/>
    <x v="0"/>
    <x v="1"/>
    <x v="2"/>
  </r>
  <r>
    <x v="494"/>
    <x v="57"/>
    <x v="2"/>
    <x v="3"/>
    <x v="1"/>
    <x v="0"/>
    <x v="4"/>
    <x v="13"/>
  </r>
  <r>
    <x v="870"/>
    <x v="57"/>
    <x v="2"/>
    <x v="2"/>
    <x v="0"/>
    <x v="2"/>
    <x v="0"/>
    <x v="3"/>
  </r>
  <r>
    <x v="813"/>
    <x v="57"/>
    <x v="2"/>
    <x v="5"/>
    <x v="0"/>
    <x v="0"/>
    <x v="3"/>
    <x v="10"/>
  </r>
  <r>
    <x v="303"/>
    <x v="57"/>
    <x v="3"/>
    <x v="4"/>
    <x v="0"/>
    <x v="0"/>
    <x v="2"/>
    <x v="7"/>
  </r>
  <r>
    <x v="379"/>
    <x v="58"/>
    <x v="3"/>
    <x v="4"/>
    <x v="0"/>
    <x v="1"/>
    <x v="2"/>
    <x v="12"/>
  </r>
  <r>
    <x v="219"/>
    <x v="58"/>
    <x v="3"/>
    <x v="1"/>
    <x v="0"/>
    <x v="1"/>
    <x v="5"/>
    <x v="17"/>
  </r>
  <r>
    <x v="949"/>
    <x v="58"/>
    <x v="4"/>
    <x v="0"/>
    <x v="0"/>
    <x v="4"/>
    <x v="1"/>
    <x v="11"/>
  </r>
  <r>
    <x v="557"/>
    <x v="59"/>
    <x v="1"/>
    <x v="0"/>
    <x v="0"/>
    <x v="3"/>
    <x v="1"/>
    <x v="9"/>
  </r>
  <r>
    <x v="56"/>
    <x v="59"/>
    <x v="3"/>
    <x v="4"/>
    <x v="1"/>
    <x v="0"/>
    <x v="2"/>
    <x v="7"/>
  </r>
  <r>
    <x v="853"/>
    <x v="59"/>
    <x v="4"/>
    <x v="5"/>
    <x v="1"/>
    <x v="1"/>
    <x v="3"/>
    <x v="14"/>
  </r>
  <r>
    <x v="906"/>
    <x v="59"/>
    <x v="1"/>
    <x v="5"/>
    <x v="1"/>
    <x v="0"/>
    <x v="3"/>
    <x v="10"/>
  </r>
  <r>
    <x v="580"/>
    <x v="59"/>
    <x v="3"/>
    <x v="2"/>
    <x v="1"/>
    <x v="2"/>
    <x v="0"/>
    <x v="3"/>
  </r>
  <r>
    <x v="909"/>
    <x v="59"/>
    <x v="3"/>
    <x v="4"/>
    <x v="0"/>
    <x v="0"/>
    <x v="2"/>
    <x v="7"/>
  </r>
  <r>
    <x v="908"/>
    <x v="59"/>
    <x v="1"/>
    <x v="4"/>
    <x v="1"/>
    <x v="0"/>
    <x v="2"/>
    <x v="7"/>
  </r>
  <r>
    <x v="420"/>
    <x v="59"/>
    <x v="2"/>
    <x v="4"/>
    <x v="0"/>
    <x v="0"/>
    <x v="2"/>
    <x v="7"/>
  </r>
  <r>
    <x v="123"/>
    <x v="59"/>
    <x v="2"/>
    <x v="4"/>
    <x v="0"/>
    <x v="0"/>
    <x v="2"/>
    <x v="7"/>
  </r>
  <r>
    <x v="584"/>
    <x v="59"/>
    <x v="2"/>
    <x v="1"/>
    <x v="0"/>
    <x v="1"/>
    <x v="5"/>
    <x v="17"/>
  </r>
  <r>
    <x v="258"/>
    <x v="60"/>
    <x v="3"/>
    <x v="2"/>
    <x v="1"/>
    <x v="0"/>
    <x v="0"/>
    <x v="0"/>
  </r>
  <r>
    <x v="504"/>
    <x v="60"/>
    <x v="2"/>
    <x v="0"/>
    <x v="0"/>
    <x v="0"/>
    <x v="1"/>
    <x v="2"/>
  </r>
  <r>
    <x v="932"/>
    <x v="60"/>
    <x v="2"/>
    <x v="0"/>
    <x v="0"/>
    <x v="3"/>
    <x v="1"/>
    <x v="9"/>
  </r>
  <r>
    <x v="210"/>
    <x v="60"/>
    <x v="3"/>
    <x v="1"/>
    <x v="0"/>
    <x v="1"/>
    <x v="5"/>
    <x v="17"/>
  </r>
  <r>
    <x v="343"/>
    <x v="60"/>
    <x v="3"/>
    <x v="3"/>
    <x v="1"/>
    <x v="1"/>
    <x v="4"/>
    <x v="16"/>
  </r>
  <r>
    <x v="998"/>
    <x v="60"/>
    <x v="2"/>
    <x v="4"/>
    <x v="0"/>
    <x v="0"/>
    <x v="2"/>
    <x v="7"/>
  </r>
  <r>
    <x v="603"/>
    <x v="60"/>
    <x v="3"/>
    <x v="2"/>
    <x v="0"/>
    <x v="0"/>
    <x v="0"/>
    <x v="0"/>
  </r>
  <r>
    <x v="230"/>
    <x v="60"/>
    <x v="3"/>
    <x v="4"/>
    <x v="1"/>
    <x v="1"/>
    <x v="2"/>
    <x v="12"/>
  </r>
  <r>
    <x v="716"/>
    <x v="61"/>
    <x v="3"/>
    <x v="1"/>
    <x v="1"/>
    <x v="1"/>
    <x v="5"/>
    <x v="17"/>
  </r>
  <r>
    <x v="223"/>
    <x v="61"/>
    <x v="3"/>
    <x v="2"/>
    <x v="1"/>
    <x v="3"/>
    <x v="0"/>
    <x v="4"/>
  </r>
  <r>
    <x v="35"/>
    <x v="61"/>
    <x v="1"/>
    <x v="3"/>
    <x v="1"/>
    <x v="1"/>
    <x v="4"/>
    <x v="16"/>
  </r>
  <r>
    <x v="714"/>
    <x v="61"/>
    <x v="3"/>
    <x v="1"/>
    <x v="0"/>
    <x v="0"/>
    <x v="5"/>
    <x v="15"/>
  </r>
  <r>
    <x v="818"/>
    <x v="61"/>
    <x v="0"/>
    <x v="0"/>
    <x v="0"/>
    <x v="2"/>
    <x v="1"/>
    <x v="8"/>
  </r>
  <r>
    <x v="277"/>
    <x v="62"/>
    <x v="4"/>
    <x v="4"/>
    <x v="1"/>
    <x v="1"/>
    <x v="2"/>
    <x v="12"/>
  </r>
  <r>
    <x v="69"/>
    <x v="62"/>
    <x v="0"/>
    <x v="2"/>
    <x v="0"/>
    <x v="2"/>
    <x v="0"/>
    <x v="3"/>
  </r>
  <r>
    <x v="287"/>
    <x v="63"/>
    <x v="3"/>
    <x v="2"/>
    <x v="1"/>
    <x v="0"/>
    <x v="0"/>
    <x v="0"/>
  </r>
  <r>
    <x v="583"/>
    <x v="63"/>
    <x v="3"/>
    <x v="1"/>
    <x v="0"/>
    <x v="0"/>
    <x v="5"/>
    <x v="15"/>
  </r>
  <r>
    <x v="132"/>
    <x v="63"/>
    <x v="2"/>
    <x v="2"/>
    <x v="1"/>
    <x v="0"/>
    <x v="0"/>
    <x v="0"/>
  </r>
  <r>
    <x v="900"/>
    <x v="63"/>
    <x v="1"/>
    <x v="0"/>
    <x v="0"/>
    <x v="2"/>
    <x v="1"/>
    <x v="8"/>
  </r>
  <r>
    <x v="995"/>
    <x v="63"/>
    <x v="2"/>
    <x v="4"/>
    <x v="1"/>
    <x v="1"/>
    <x v="2"/>
    <x v="12"/>
  </r>
  <r>
    <x v="490"/>
    <x v="64"/>
    <x v="3"/>
    <x v="5"/>
    <x v="1"/>
    <x v="0"/>
    <x v="3"/>
    <x v="10"/>
  </r>
  <r>
    <x v="996"/>
    <x v="64"/>
    <x v="0"/>
    <x v="1"/>
    <x v="0"/>
    <x v="0"/>
    <x v="5"/>
    <x v="15"/>
  </r>
  <r>
    <x v="9"/>
    <x v="64"/>
    <x v="1"/>
    <x v="0"/>
    <x v="1"/>
    <x v="4"/>
    <x v="1"/>
    <x v="11"/>
  </r>
  <r>
    <x v="399"/>
    <x v="64"/>
    <x v="2"/>
    <x v="0"/>
    <x v="0"/>
    <x v="3"/>
    <x v="1"/>
    <x v="9"/>
  </r>
  <r>
    <x v="245"/>
    <x v="64"/>
    <x v="3"/>
    <x v="4"/>
    <x v="1"/>
    <x v="1"/>
    <x v="2"/>
    <x v="12"/>
  </r>
  <r>
    <x v="513"/>
    <x v="64"/>
    <x v="3"/>
    <x v="2"/>
    <x v="0"/>
    <x v="4"/>
    <x v="0"/>
    <x v="5"/>
  </r>
  <r>
    <x v="135"/>
    <x v="64"/>
    <x v="2"/>
    <x v="2"/>
    <x v="1"/>
    <x v="0"/>
    <x v="0"/>
    <x v="0"/>
  </r>
  <r>
    <x v="838"/>
    <x v="64"/>
    <x v="1"/>
    <x v="1"/>
    <x v="0"/>
    <x v="0"/>
    <x v="5"/>
    <x v="15"/>
  </r>
  <r>
    <x v="104"/>
    <x v="64"/>
    <x v="4"/>
    <x v="2"/>
    <x v="1"/>
    <x v="2"/>
    <x v="0"/>
    <x v="3"/>
  </r>
  <r>
    <x v="216"/>
    <x v="65"/>
    <x v="0"/>
    <x v="0"/>
    <x v="1"/>
    <x v="0"/>
    <x v="1"/>
    <x v="2"/>
  </r>
  <r>
    <x v="340"/>
    <x v="65"/>
    <x v="4"/>
    <x v="4"/>
    <x v="1"/>
    <x v="1"/>
    <x v="2"/>
    <x v="12"/>
  </r>
  <r>
    <x v="302"/>
    <x v="65"/>
    <x v="2"/>
    <x v="0"/>
    <x v="0"/>
    <x v="4"/>
    <x v="1"/>
    <x v="11"/>
  </r>
  <r>
    <x v="755"/>
    <x v="65"/>
    <x v="2"/>
    <x v="2"/>
    <x v="0"/>
    <x v="4"/>
    <x v="0"/>
    <x v="5"/>
  </r>
  <r>
    <x v="168"/>
    <x v="65"/>
    <x v="2"/>
    <x v="2"/>
    <x v="1"/>
    <x v="3"/>
    <x v="0"/>
    <x v="4"/>
  </r>
  <r>
    <x v="432"/>
    <x v="65"/>
    <x v="4"/>
    <x v="5"/>
    <x v="0"/>
    <x v="1"/>
    <x v="3"/>
    <x v="14"/>
  </r>
  <r>
    <x v="810"/>
    <x v="65"/>
    <x v="3"/>
    <x v="2"/>
    <x v="0"/>
    <x v="1"/>
    <x v="0"/>
    <x v="1"/>
  </r>
  <r>
    <x v="652"/>
    <x v="66"/>
    <x v="1"/>
    <x v="0"/>
    <x v="1"/>
    <x v="3"/>
    <x v="1"/>
    <x v="9"/>
  </r>
  <r>
    <x v="620"/>
    <x v="66"/>
    <x v="2"/>
    <x v="0"/>
    <x v="0"/>
    <x v="1"/>
    <x v="1"/>
    <x v="6"/>
  </r>
  <r>
    <x v="640"/>
    <x v="66"/>
    <x v="1"/>
    <x v="5"/>
    <x v="0"/>
    <x v="0"/>
    <x v="3"/>
    <x v="10"/>
  </r>
  <r>
    <x v="477"/>
    <x v="66"/>
    <x v="3"/>
    <x v="5"/>
    <x v="1"/>
    <x v="0"/>
    <x v="3"/>
    <x v="10"/>
  </r>
  <r>
    <x v="471"/>
    <x v="66"/>
    <x v="3"/>
    <x v="0"/>
    <x v="0"/>
    <x v="3"/>
    <x v="1"/>
    <x v="9"/>
  </r>
  <r>
    <x v="295"/>
    <x v="66"/>
    <x v="3"/>
    <x v="0"/>
    <x v="0"/>
    <x v="3"/>
    <x v="1"/>
    <x v="9"/>
  </r>
  <r>
    <x v="4"/>
    <x v="66"/>
    <x v="2"/>
    <x v="1"/>
    <x v="0"/>
    <x v="1"/>
    <x v="5"/>
    <x v="17"/>
  </r>
  <r>
    <x v="329"/>
    <x v="66"/>
    <x v="2"/>
    <x v="4"/>
    <x v="0"/>
    <x v="1"/>
    <x v="2"/>
    <x v="12"/>
  </r>
  <r>
    <x v="783"/>
    <x v="66"/>
    <x v="4"/>
    <x v="4"/>
    <x v="1"/>
    <x v="1"/>
    <x v="2"/>
    <x v="12"/>
  </r>
  <r>
    <x v="51"/>
    <x v="66"/>
    <x v="2"/>
    <x v="3"/>
    <x v="0"/>
    <x v="0"/>
    <x v="4"/>
    <x v="13"/>
  </r>
  <r>
    <x v="288"/>
    <x v="67"/>
    <x v="2"/>
    <x v="1"/>
    <x v="1"/>
    <x v="0"/>
    <x v="5"/>
    <x v="15"/>
  </r>
  <r>
    <x v="103"/>
    <x v="67"/>
    <x v="4"/>
    <x v="4"/>
    <x v="0"/>
    <x v="1"/>
    <x v="2"/>
    <x v="12"/>
  </r>
  <r>
    <x v="7"/>
    <x v="67"/>
    <x v="2"/>
    <x v="3"/>
    <x v="1"/>
    <x v="1"/>
    <x v="4"/>
    <x v="16"/>
  </r>
  <r>
    <x v="741"/>
    <x v="67"/>
    <x v="3"/>
    <x v="2"/>
    <x v="0"/>
    <x v="4"/>
    <x v="0"/>
    <x v="5"/>
  </r>
  <r>
    <x v="140"/>
    <x v="68"/>
    <x v="1"/>
    <x v="2"/>
    <x v="1"/>
    <x v="4"/>
    <x v="0"/>
    <x v="5"/>
  </r>
  <r>
    <x v="826"/>
    <x v="68"/>
    <x v="3"/>
    <x v="3"/>
    <x v="0"/>
    <x v="1"/>
    <x v="4"/>
    <x v="16"/>
  </r>
  <r>
    <x v="787"/>
    <x v="68"/>
    <x v="2"/>
    <x v="5"/>
    <x v="1"/>
    <x v="0"/>
    <x v="3"/>
    <x v="10"/>
  </r>
  <r>
    <x v="830"/>
    <x v="68"/>
    <x v="4"/>
    <x v="2"/>
    <x v="0"/>
    <x v="3"/>
    <x v="0"/>
    <x v="4"/>
  </r>
  <r>
    <x v="731"/>
    <x v="68"/>
    <x v="1"/>
    <x v="2"/>
    <x v="1"/>
    <x v="4"/>
    <x v="0"/>
    <x v="5"/>
  </r>
  <r>
    <x v="645"/>
    <x v="69"/>
    <x v="1"/>
    <x v="0"/>
    <x v="1"/>
    <x v="2"/>
    <x v="1"/>
    <x v="8"/>
  </r>
  <r>
    <x v="794"/>
    <x v="70"/>
    <x v="2"/>
    <x v="0"/>
    <x v="0"/>
    <x v="1"/>
    <x v="1"/>
    <x v="6"/>
  </r>
  <r>
    <x v="746"/>
    <x v="70"/>
    <x v="1"/>
    <x v="4"/>
    <x v="1"/>
    <x v="0"/>
    <x v="2"/>
    <x v="7"/>
  </r>
  <r>
    <x v="680"/>
    <x v="70"/>
    <x v="2"/>
    <x v="3"/>
    <x v="1"/>
    <x v="0"/>
    <x v="4"/>
    <x v="13"/>
  </r>
  <r>
    <x v="728"/>
    <x v="70"/>
    <x v="3"/>
    <x v="0"/>
    <x v="0"/>
    <x v="1"/>
    <x v="1"/>
    <x v="6"/>
  </r>
  <r>
    <x v="615"/>
    <x v="70"/>
    <x v="2"/>
    <x v="4"/>
    <x v="0"/>
    <x v="0"/>
    <x v="2"/>
    <x v="7"/>
  </r>
  <r>
    <x v="478"/>
    <x v="71"/>
    <x v="4"/>
    <x v="5"/>
    <x v="0"/>
    <x v="1"/>
    <x v="3"/>
    <x v="14"/>
  </r>
  <r>
    <x v="939"/>
    <x v="71"/>
    <x v="0"/>
    <x v="3"/>
    <x v="0"/>
    <x v="1"/>
    <x v="4"/>
    <x v="16"/>
  </r>
  <r>
    <x v="805"/>
    <x v="71"/>
    <x v="2"/>
    <x v="2"/>
    <x v="0"/>
    <x v="4"/>
    <x v="0"/>
    <x v="5"/>
  </r>
  <r>
    <x v="822"/>
    <x v="71"/>
    <x v="3"/>
    <x v="3"/>
    <x v="0"/>
    <x v="0"/>
    <x v="4"/>
    <x v="13"/>
  </r>
  <r>
    <x v="829"/>
    <x v="71"/>
    <x v="3"/>
    <x v="5"/>
    <x v="0"/>
    <x v="1"/>
    <x v="3"/>
    <x v="14"/>
  </r>
  <r>
    <x v="434"/>
    <x v="71"/>
    <x v="3"/>
    <x v="5"/>
    <x v="1"/>
    <x v="0"/>
    <x v="3"/>
    <x v="10"/>
  </r>
  <r>
    <x v="658"/>
    <x v="71"/>
    <x v="2"/>
    <x v="1"/>
    <x v="0"/>
    <x v="0"/>
    <x v="5"/>
    <x v="15"/>
  </r>
  <r>
    <x v="518"/>
    <x v="72"/>
    <x v="4"/>
    <x v="0"/>
    <x v="1"/>
    <x v="3"/>
    <x v="1"/>
    <x v="9"/>
  </r>
  <r>
    <x v="671"/>
    <x v="72"/>
    <x v="3"/>
    <x v="0"/>
    <x v="1"/>
    <x v="2"/>
    <x v="1"/>
    <x v="8"/>
  </r>
  <r>
    <x v="450"/>
    <x v="72"/>
    <x v="4"/>
    <x v="4"/>
    <x v="1"/>
    <x v="0"/>
    <x v="2"/>
    <x v="7"/>
  </r>
  <r>
    <x v="392"/>
    <x v="72"/>
    <x v="4"/>
    <x v="4"/>
    <x v="0"/>
    <x v="1"/>
    <x v="2"/>
    <x v="12"/>
  </r>
  <r>
    <x v="665"/>
    <x v="72"/>
    <x v="3"/>
    <x v="2"/>
    <x v="0"/>
    <x v="2"/>
    <x v="0"/>
    <x v="3"/>
  </r>
  <r>
    <x v="207"/>
    <x v="72"/>
    <x v="2"/>
    <x v="4"/>
    <x v="0"/>
    <x v="1"/>
    <x v="2"/>
    <x v="12"/>
  </r>
  <r>
    <x v="963"/>
    <x v="72"/>
    <x v="1"/>
    <x v="4"/>
    <x v="1"/>
    <x v="0"/>
    <x v="2"/>
    <x v="7"/>
  </r>
  <r>
    <x v="633"/>
    <x v="72"/>
    <x v="2"/>
    <x v="0"/>
    <x v="0"/>
    <x v="1"/>
    <x v="1"/>
    <x v="6"/>
  </r>
  <r>
    <x v="378"/>
    <x v="73"/>
    <x v="3"/>
    <x v="5"/>
    <x v="1"/>
    <x v="0"/>
    <x v="3"/>
    <x v="10"/>
  </r>
  <r>
    <x v="80"/>
    <x v="73"/>
    <x v="4"/>
    <x v="0"/>
    <x v="0"/>
    <x v="1"/>
    <x v="1"/>
    <x v="6"/>
  </r>
  <r>
    <x v="660"/>
    <x v="73"/>
    <x v="2"/>
    <x v="5"/>
    <x v="0"/>
    <x v="0"/>
    <x v="3"/>
    <x v="10"/>
  </r>
  <r>
    <x v="414"/>
    <x v="73"/>
    <x v="2"/>
    <x v="4"/>
    <x v="0"/>
    <x v="0"/>
    <x v="2"/>
    <x v="7"/>
  </r>
  <r>
    <x v="941"/>
    <x v="73"/>
    <x v="2"/>
    <x v="3"/>
    <x v="1"/>
    <x v="0"/>
    <x v="4"/>
    <x v="13"/>
  </r>
  <r>
    <x v="82"/>
    <x v="74"/>
    <x v="2"/>
    <x v="3"/>
    <x v="0"/>
    <x v="0"/>
    <x v="4"/>
    <x v="13"/>
  </r>
  <r>
    <x v="559"/>
    <x v="74"/>
    <x v="0"/>
    <x v="4"/>
    <x v="0"/>
    <x v="1"/>
    <x v="2"/>
    <x v="12"/>
  </r>
  <r>
    <x v="283"/>
    <x v="74"/>
    <x v="0"/>
    <x v="4"/>
    <x v="1"/>
    <x v="0"/>
    <x v="2"/>
    <x v="7"/>
  </r>
  <r>
    <x v="877"/>
    <x v="74"/>
    <x v="3"/>
    <x v="0"/>
    <x v="0"/>
    <x v="3"/>
    <x v="1"/>
    <x v="9"/>
  </r>
  <r>
    <x v="928"/>
    <x v="74"/>
    <x v="3"/>
    <x v="2"/>
    <x v="0"/>
    <x v="0"/>
    <x v="0"/>
    <x v="0"/>
  </r>
  <r>
    <x v="707"/>
    <x v="74"/>
    <x v="3"/>
    <x v="0"/>
    <x v="0"/>
    <x v="1"/>
    <x v="1"/>
    <x v="6"/>
  </r>
  <r>
    <x v="879"/>
    <x v="74"/>
    <x v="2"/>
    <x v="1"/>
    <x v="0"/>
    <x v="0"/>
    <x v="5"/>
    <x v="15"/>
  </r>
  <r>
    <x v="427"/>
    <x v="75"/>
    <x v="2"/>
    <x v="4"/>
    <x v="1"/>
    <x v="0"/>
    <x v="2"/>
    <x v="7"/>
  </r>
  <r>
    <x v="581"/>
    <x v="75"/>
    <x v="2"/>
    <x v="4"/>
    <x v="0"/>
    <x v="0"/>
    <x v="2"/>
    <x v="7"/>
  </r>
  <r>
    <x v="143"/>
    <x v="75"/>
    <x v="3"/>
    <x v="1"/>
    <x v="1"/>
    <x v="0"/>
    <x v="5"/>
    <x v="15"/>
  </r>
  <r>
    <x v="76"/>
    <x v="75"/>
    <x v="3"/>
    <x v="4"/>
    <x v="0"/>
    <x v="0"/>
    <x v="2"/>
    <x v="7"/>
  </r>
  <r>
    <x v="115"/>
    <x v="75"/>
    <x v="3"/>
    <x v="0"/>
    <x v="0"/>
    <x v="1"/>
    <x v="1"/>
    <x v="6"/>
  </r>
  <r>
    <x v="933"/>
    <x v="75"/>
    <x v="3"/>
    <x v="3"/>
    <x v="0"/>
    <x v="0"/>
    <x v="4"/>
    <x v="13"/>
  </r>
  <r>
    <x v="232"/>
    <x v="76"/>
    <x v="4"/>
    <x v="0"/>
    <x v="0"/>
    <x v="3"/>
    <x v="1"/>
    <x v="9"/>
  </r>
  <r>
    <x v="449"/>
    <x v="76"/>
    <x v="0"/>
    <x v="5"/>
    <x v="0"/>
    <x v="0"/>
    <x v="3"/>
    <x v="10"/>
  </r>
  <r>
    <x v="236"/>
    <x v="76"/>
    <x v="3"/>
    <x v="5"/>
    <x v="1"/>
    <x v="0"/>
    <x v="3"/>
    <x v="10"/>
  </r>
  <r>
    <x v="560"/>
    <x v="76"/>
    <x v="4"/>
    <x v="2"/>
    <x v="0"/>
    <x v="0"/>
    <x v="0"/>
    <x v="0"/>
  </r>
  <r>
    <x v="105"/>
    <x v="76"/>
    <x v="2"/>
    <x v="4"/>
    <x v="0"/>
    <x v="1"/>
    <x v="2"/>
    <x v="12"/>
  </r>
  <r>
    <x v="315"/>
    <x v="76"/>
    <x v="3"/>
    <x v="3"/>
    <x v="0"/>
    <x v="1"/>
    <x v="4"/>
    <x v="16"/>
  </r>
  <r>
    <x v="43"/>
    <x v="77"/>
    <x v="4"/>
    <x v="1"/>
    <x v="0"/>
    <x v="0"/>
    <x v="5"/>
    <x v="15"/>
  </r>
  <r>
    <x v="942"/>
    <x v="77"/>
    <x v="3"/>
    <x v="1"/>
    <x v="0"/>
    <x v="1"/>
    <x v="5"/>
    <x v="17"/>
  </r>
  <r>
    <x v="880"/>
    <x v="77"/>
    <x v="2"/>
    <x v="4"/>
    <x v="1"/>
    <x v="0"/>
    <x v="2"/>
    <x v="7"/>
  </r>
  <r>
    <x v="88"/>
    <x v="77"/>
    <x v="2"/>
    <x v="5"/>
    <x v="1"/>
    <x v="1"/>
    <x v="3"/>
    <x v="14"/>
  </r>
  <r>
    <x v="587"/>
    <x v="77"/>
    <x v="0"/>
    <x v="5"/>
    <x v="1"/>
    <x v="0"/>
    <x v="3"/>
    <x v="10"/>
  </r>
  <r>
    <x v="441"/>
    <x v="77"/>
    <x v="4"/>
    <x v="2"/>
    <x v="1"/>
    <x v="4"/>
    <x v="0"/>
    <x v="5"/>
  </r>
  <r>
    <x v="479"/>
    <x v="78"/>
    <x v="1"/>
    <x v="0"/>
    <x v="1"/>
    <x v="2"/>
    <x v="1"/>
    <x v="8"/>
  </r>
  <r>
    <x v="75"/>
    <x v="78"/>
    <x v="3"/>
    <x v="5"/>
    <x v="1"/>
    <x v="1"/>
    <x v="3"/>
    <x v="14"/>
  </r>
  <r>
    <x v="734"/>
    <x v="78"/>
    <x v="0"/>
    <x v="4"/>
    <x v="1"/>
    <x v="1"/>
    <x v="2"/>
    <x v="12"/>
  </r>
  <r>
    <x v="549"/>
    <x v="78"/>
    <x v="3"/>
    <x v="2"/>
    <x v="0"/>
    <x v="2"/>
    <x v="0"/>
    <x v="3"/>
  </r>
  <r>
    <x v="769"/>
    <x v="78"/>
    <x v="4"/>
    <x v="5"/>
    <x v="1"/>
    <x v="0"/>
    <x v="3"/>
    <x v="10"/>
  </r>
  <r>
    <x v="57"/>
    <x v="78"/>
    <x v="0"/>
    <x v="5"/>
    <x v="0"/>
    <x v="1"/>
    <x v="3"/>
    <x v="14"/>
  </r>
  <r>
    <x v="526"/>
    <x v="79"/>
    <x v="3"/>
    <x v="0"/>
    <x v="0"/>
    <x v="3"/>
    <x v="1"/>
    <x v="9"/>
  </r>
  <r>
    <x v="828"/>
    <x v="79"/>
    <x v="3"/>
    <x v="4"/>
    <x v="0"/>
    <x v="0"/>
    <x v="2"/>
    <x v="7"/>
  </r>
  <r>
    <x v="323"/>
    <x v="79"/>
    <x v="1"/>
    <x v="0"/>
    <x v="1"/>
    <x v="4"/>
    <x v="1"/>
    <x v="11"/>
  </r>
  <r>
    <x v="682"/>
    <x v="79"/>
    <x v="3"/>
    <x v="4"/>
    <x v="1"/>
    <x v="1"/>
    <x v="2"/>
    <x v="12"/>
  </r>
  <r>
    <x v="770"/>
    <x v="79"/>
    <x v="1"/>
    <x v="0"/>
    <x v="1"/>
    <x v="3"/>
    <x v="1"/>
    <x v="9"/>
  </r>
  <r>
    <x v="525"/>
    <x v="79"/>
    <x v="4"/>
    <x v="5"/>
    <x v="1"/>
    <x v="1"/>
    <x v="3"/>
    <x v="14"/>
  </r>
  <r>
    <x v="868"/>
    <x v="80"/>
    <x v="0"/>
    <x v="2"/>
    <x v="0"/>
    <x v="0"/>
    <x v="0"/>
    <x v="0"/>
  </r>
  <r>
    <x v="564"/>
    <x v="80"/>
    <x v="2"/>
    <x v="0"/>
    <x v="0"/>
    <x v="0"/>
    <x v="1"/>
    <x v="2"/>
  </r>
  <r>
    <x v="130"/>
    <x v="80"/>
    <x v="1"/>
    <x v="5"/>
    <x v="0"/>
    <x v="1"/>
    <x v="3"/>
    <x v="14"/>
  </r>
  <r>
    <x v="344"/>
    <x v="81"/>
    <x v="1"/>
    <x v="0"/>
    <x v="0"/>
    <x v="0"/>
    <x v="1"/>
    <x v="2"/>
  </r>
  <r>
    <x v="843"/>
    <x v="81"/>
    <x v="2"/>
    <x v="4"/>
    <x v="1"/>
    <x v="0"/>
    <x v="2"/>
    <x v="7"/>
  </r>
  <r>
    <x v="49"/>
    <x v="81"/>
    <x v="3"/>
    <x v="2"/>
    <x v="1"/>
    <x v="3"/>
    <x v="0"/>
    <x v="4"/>
  </r>
  <r>
    <x v="33"/>
    <x v="81"/>
    <x v="2"/>
    <x v="2"/>
    <x v="0"/>
    <x v="1"/>
    <x v="0"/>
    <x v="1"/>
  </r>
  <r>
    <x v="100"/>
    <x v="81"/>
    <x v="2"/>
    <x v="4"/>
    <x v="0"/>
    <x v="0"/>
    <x v="2"/>
    <x v="7"/>
  </r>
  <r>
    <x v="270"/>
    <x v="82"/>
    <x v="0"/>
    <x v="2"/>
    <x v="0"/>
    <x v="1"/>
    <x v="0"/>
    <x v="1"/>
  </r>
  <r>
    <x v="252"/>
    <x v="82"/>
    <x v="1"/>
    <x v="2"/>
    <x v="0"/>
    <x v="2"/>
    <x v="0"/>
    <x v="3"/>
  </r>
  <r>
    <x v="34"/>
    <x v="83"/>
    <x v="2"/>
    <x v="0"/>
    <x v="0"/>
    <x v="1"/>
    <x v="1"/>
    <x v="6"/>
  </r>
  <r>
    <x v="70"/>
    <x v="83"/>
    <x v="0"/>
    <x v="0"/>
    <x v="0"/>
    <x v="4"/>
    <x v="1"/>
    <x v="11"/>
  </r>
  <r>
    <x v="516"/>
    <x v="83"/>
    <x v="2"/>
    <x v="0"/>
    <x v="1"/>
    <x v="1"/>
    <x v="1"/>
    <x v="6"/>
  </r>
  <r>
    <x v="617"/>
    <x v="83"/>
    <x v="0"/>
    <x v="4"/>
    <x v="1"/>
    <x v="0"/>
    <x v="2"/>
    <x v="7"/>
  </r>
  <r>
    <x v="436"/>
    <x v="83"/>
    <x v="4"/>
    <x v="4"/>
    <x v="0"/>
    <x v="0"/>
    <x v="2"/>
    <x v="7"/>
  </r>
  <r>
    <x v="408"/>
    <x v="83"/>
    <x v="1"/>
    <x v="4"/>
    <x v="1"/>
    <x v="0"/>
    <x v="2"/>
    <x v="7"/>
  </r>
  <r>
    <x v="385"/>
    <x v="83"/>
    <x v="3"/>
    <x v="5"/>
    <x v="0"/>
    <x v="1"/>
    <x v="3"/>
    <x v="14"/>
  </r>
  <r>
    <x v="715"/>
    <x v="84"/>
    <x v="4"/>
    <x v="5"/>
    <x v="1"/>
    <x v="1"/>
    <x v="3"/>
    <x v="14"/>
  </r>
  <r>
    <x v="176"/>
    <x v="84"/>
    <x v="3"/>
    <x v="4"/>
    <x v="0"/>
    <x v="1"/>
    <x v="2"/>
    <x v="12"/>
  </r>
  <r>
    <x v="5"/>
    <x v="84"/>
    <x v="2"/>
    <x v="5"/>
    <x v="1"/>
    <x v="0"/>
    <x v="3"/>
    <x v="10"/>
  </r>
  <r>
    <x v="48"/>
    <x v="84"/>
    <x v="1"/>
    <x v="4"/>
    <x v="0"/>
    <x v="0"/>
    <x v="2"/>
    <x v="7"/>
  </r>
  <r>
    <x v="266"/>
    <x v="84"/>
    <x v="3"/>
    <x v="5"/>
    <x v="1"/>
    <x v="1"/>
    <x v="3"/>
    <x v="14"/>
  </r>
  <r>
    <x v="675"/>
    <x v="84"/>
    <x v="0"/>
    <x v="5"/>
    <x v="1"/>
    <x v="0"/>
    <x v="3"/>
    <x v="10"/>
  </r>
  <r>
    <x v="738"/>
    <x v="84"/>
    <x v="4"/>
    <x v="4"/>
    <x v="1"/>
    <x v="0"/>
    <x v="2"/>
    <x v="7"/>
  </r>
  <r>
    <x v="922"/>
    <x v="84"/>
    <x v="1"/>
    <x v="0"/>
    <x v="0"/>
    <x v="2"/>
    <x v="1"/>
    <x v="8"/>
  </r>
  <r>
    <x v="339"/>
    <x v="84"/>
    <x v="0"/>
    <x v="0"/>
    <x v="1"/>
    <x v="2"/>
    <x v="1"/>
    <x v="8"/>
  </r>
  <r>
    <x v="655"/>
    <x v="85"/>
    <x v="0"/>
    <x v="1"/>
    <x v="1"/>
    <x v="1"/>
    <x v="5"/>
    <x v="17"/>
  </r>
  <r>
    <x v="92"/>
    <x v="85"/>
    <x v="4"/>
    <x v="2"/>
    <x v="0"/>
    <x v="2"/>
    <x v="0"/>
    <x v="3"/>
  </r>
  <r>
    <x v="765"/>
    <x v="85"/>
    <x v="3"/>
    <x v="4"/>
    <x v="1"/>
    <x v="1"/>
    <x v="2"/>
    <x v="12"/>
  </r>
  <r>
    <x v="257"/>
    <x v="85"/>
    <x v="3"/>
    <x v="2"/>
    <x v="1"/>
    <x v="4"/>
    <x v="0"/>
    <x v="5"/>
  </r>
  <r>
    <x v="109"/>
    <x v="85"/>
    <x v="2"/>
    <x v="0"/>
    <x v="0"/>
    <x v="2"/>
    <x v="1"/>
    <x v="8"/>
  </r>
  <r>
    <x v="228"/>
    <x v="85"/>
    <x v="3"/>
    <x v="0"/>
    <x v="1"/>
    <x v="4"/>
    <x v="1"/>
    <x v="11"/>
  </r>
  <r>
    <x v="602"/>
    <x v="85"/>
    <x v="4"/>
    <x v="4"/>
    <x v="0"/>
    <x v="0"/>
    <x v="2"/>
    <x v="7"/>
  </r>
  <r>
    <x v="883"/>
    <x v="85"/>
    <x v="2"/>
    <x v="5"/>
    <x v="0"/>
    <x v="1"/>
    <x v="3"/>
    <x v="14"/>
  </r>
  <r>
    <x v="202"/>
    <x v="85"/>
    <x v="3"/>
    <x v="2"/>
    <x v="1"/>
    <x v="0"/>
    <x v="0"/>
    <x v="0"/>
  </r>
  <r>
    <x v="582"/>
    <x v="85"/>
    <x v="0"/>
    <x v="4"/>
    <x v="0"/>
    <x v="0"/>
    <x v="2"/>
    <x v="7"/>
  </r>
  <r>
    <x v="372"/>
    <x v="86"/>
    <x v="2"/>
    <x v="0"/>
    <x v="1"/>
    <x v="1"/>
    <x v="1"/>
    <x v="6"/>
  </r>
  <r>
    <x v="54"/>
    <x v="86"/>
    <x v="1"/>
    <x v="0"/>
    <x v="0"/>
    <x v="4"/>
    <x v="1"/>
    <x v="11"/>
  </r>
  <r>
    <x v="840"/>
    <x v="86"/>
    <x v="3"/>
    <x v="5"/>
    <x v="0"/>
    <x v="1"/>
    <x v="3"/>
    <x v="14"/>
  </r>
  <r>
    <x v="360"/>
    <x v="86"/>
    <x v="3"/>
    <x v="0"/>
    <x v="0"/>
    <x v="4"/>
    <x v="1"/>
    <x v="11"/>
  </r>
  <r>
    <x v="747"/>
    <x v="87"/>
    <x v="1"/>
    <x v="3"/>
    <x v="0"/>
    <x v="1"/>
    <x v="4"/>
    <x v="16"/>
  </r>
  <r>
    <x v="326"/>
    <x v="87"/>
    <x v="2"/>
    <x v="4"/>
    <x v="0"/>
    <x v="0"/>
    <x v="2"/>
    <x v="7"/>
  </r>
  <r>
    <x v="967"/>
    <x v="87"/>
    <x v="4"/>
    <x v="3"/>
    <x v="0"/>
    <x v="0"/>
    <x v="4"/>
    <x v="13"/>
  </r>
  <r>
    <x v="487"/>
    <x v="87"/>
    <x v="3"/>
    <x v="2"/>
    <x v="0"/>
    <x v="4"/>
    <x v="0"/>
    <x v="5"/>
  </r>
  <r>
    <x v="472"/>
    <x v="88"/>
    <x v="2"/>
    <x v="2"/>
    <x v="0"/>
    <x v="1"/>
    <x v="0"/>
    <x v="1"/>
  </r>
  <r>
    <x v="469"/>
    <x v="88"/>
    <x v="2"/>
    <x v="4"/>
    <x v="0"/>
    <x v="0"/>
    <x v="2"/>
    <x v="7"/>
  </r>
  <r>
    <x v="626"/>
    <x v="88"/>
    <x v="3"/>
    <x v="4"/>
    <x v="0"/>
    <x v="1"/>
    <x v="2"/>
    <x v="12"/>
  </r>
  <r>
    <x v="173"/>
    <x v="88"/>
    <x v="2"/>
    <x v="4"/>
    <x v="0"/>
    <x v="1"/>
    <x v="2"/>
    <x v="12"/>
  </r>
  <r>
    <x v="165"/>
    <x v="88"/>
    <x v="3"/>
    <x v="1"/>
    <x v="1"/>
    <x v="0"/>
    <x v="5"/>
    <x v="15"/>
  </r>
  <r>
    <x v="887"/>
    <x v="89"/>
    <x v="2"/>
    <x v="0"/>
    <x v="1"/>
    <x v="3"/>
    <x v="1"/>
    <x v="9"/>
  </r>
  <r>
    <x v="107"/>
    <x v="89"/>
    <x v="2"/>
    <x v="5"/>
    <x v="1"/>
    <x v="0"/>
    <x v="3"/>
    <x v="10"/>
  </r>
  <r>
    <x v="591"/>
    <x v="89"/>
    <x v="1"/>
    <x v="4"/>
    <x v="0"/>
    <x v="0"/>
    <x v="2"/>
    <x v="7"/>
  </r>
  <r>
    <x v="493"/>
    <x v="89"/>
    <x v="0"/>
    <x v="0"/>
    <x v="0"/>
    <x v="3"/>
    <x v="1"/>
    <x v="9"/>
  </r>
  <r>
    <x v="608"/>
    <x v="89"/>
    <x v="2"/>
    <x v="4"/>
    <x v="1"/>
    <x v="0"/>
    <x v="2"/>
    <x v="7"/>
  </r>
  <r>
    <x v="910"/>
    <x v="89"/>
    <x v="2"/>
    <x v="5"/>
    <x v="0"/>
    <x v="0"/>
    <x v="3"/>
    <x v="10"/>
  </r>
  <r>
    <x v="443"/>
    <x v="89"/>
    <x v="2"/>
    <x v="1"/>
    <x v="1"/>
    <x v="0"/>
    <x v="5"/>
    <x v="15"/>
  </r>
  <r>
    <x v="91"/>
    <x v="89"/>
    <x v="3"/>
    <x v="4"/>
    <x v="0"/>
    <x v="1"/>
    <x v="2"/>
    <x v="12"/>
  </r>
  <r>
    <x v="975"/>
    <x v="89"/>
    <x v="3"/>
    <x v="4"/>
    <x v="0"/>
    <x v="0"/>
    <x v="2"/>
    <x v="7"/>
  </r>
  <r>
    <x v="125"/>
    <x v="90"/>
    <x v="3"/>
    <x v="0"/>
    <x v="0"/>
    <x v="0"/>
    <x v="1"/>
    <x v="2"/>
  </r>
  <r>
    <x v="708"/>
    <x v="90"/>
    <x v="3"/>
    <x v="5"/>
    <x v="0"/>
    <x v="0"/>
    <x v="3"/>
    <x v="10"/>
  </r>
  <r>
    <x v="668"/>
    <x v="90"/>
    <x v="2"/>
    <x v="1"/>
    <x v="0"/>
    <x v="0"/>
    <x v="5"/>
    <x v="15"/>
  </r>
  <r>
    <x v="391"/>
    <x v="90"/>
    <x v="3"/>
    <x v="0"/>
    <x v="1"/>
    <x v="1"/>
    <x v="1"/>
    <x v="6"/>
  </r>
  <r>
    <x v="958"/>
    <x v="90"/>
    <x v="2"/>
    <x v="4"/>
    <x v="1"/>
    <x v="1"/>
    <x v="2"/>
    <x v="12"/>
  </r>
  <r>
    <x v="544"/>
    <x v="91"/>
    <x v="2"/>
    <x v="2"/>
    <x v="0"/>
    <x v="3"/>
    <x v="0"/>
    <x v="4"/>
  </r>
  <r>
    <x v="523"/>
    <x v="91"/>
    <x v="0"/>
    <x v="4"/>
    <x v="0"/>
    <x v="0"/>
    <x v="2"/>
    <x v="7"/>
  </r>
  <r>
    <x v="597"/>
    <x v="92"/>
    <x v="2"/>
    <x v="1"/>
    <x v="0"/>
    <x v="1"/>
    <x v="5"/>
    <x v="17"/>
  </r>
  <r>
    <x v="388"/>
    <x v="92"/>
    <x v="3"/>
    <x v="0"/>
    <x v="0"/>
    <x v="4"/>
    <x v="1"/>
    <x v="11"/>
  </r>
  <r>
    <x v="625"/>
    <x v="92"/>
    <x v="2"/>
    <x v="1"/>
    <x v="0"/>
    <x v="1"/>
    <x v="5"/>
    <x v="17"/>
  </r>
  <r>
    <x v="470"/>
    <x v="92"/>
    <x v="0"/>
    <x v="4"/>
    <x v="0"/>
    <x v="0"/>
    <x v="2"/>
    <x v="7"/>
  </r>
  <r>
    <x v="927"/>
    <x v="93"/>
    <x v="1"/>
    <x v="2"/>
    <x v="0"/>
    <x v="1"/>
    <x v="0"/>
    <x v="1"/>
  </r>
  <r>
    <x v="29"/>
    <x v="93"/>
    <x v="3"/>
    <x v="2"/>
    <x v="0"/>
    <x v="1"/>
    <x v="0"/>
    <x v="1"/>
  </r>
  <r>
    <x v="239"/>
    <x v="93"/>
    <x v="2"/>
    <x v="5"/>
    <x v="0"/>
    <x v="1"/>
    <x v="3"/>
    <x v="14"/>
  </r>
  <r>
    <x v="533"/>
    <x v="93"/>
    <x v="3"/>
    <x v="0"/>
    <x v="0"/>
    <x v="0"/>
    <x v="1"/>
    <x v="2"/>
  </r>
  <r>
    <x v="719"/>
    <x v="93"/>
    <x v="4"/>
    <x v="5"/>
    <x v="1"/>
    <x v="1"/>
    <x v="3"/>
    <x v="14"/>
  </r>
  <r>
    <x v="500"/>
    <x v="93"/>
    <x v="3"/>
    <x v="2"/>
    <x v="0"/>
    <x v="4"/>
    <x v="0"/>
    <x v="5"/>
  </r>
  <r>
    <x v="649"/>
    <x v="93"/>
    <x v="0"/>
    <x v="0"/>
    <x v="1"/>
    <x v="0"/>
    <x v="1"/>
    <x v="2"/>
  </r>
  <r>
    <x v="146"/>
    <x v="94"/>
    <x v="3"/>
    <x v="2"/>
    <x v="1"/>
    <x v="2"/>
    <x v="0"/>
    <x v="3"/>
  </r>
  <r>
    <x v="121"/>
    <x v="94"/>
    <x v="3"/>
    <x v="2"/>
    <x v="0"/>
    <x v="0"/>
    <x v="0"/>
    <x v="0"/>
  </r>
  <r>
    <x v="577"/>
    <x v="94"/>
    <x v="3"/>
    <x v="1"/>
    <x v="0"/>
    <x v="1"/>
    <x v="5"/>
    <x v="17"/>
  </r>
  <r>
    <x v="452"/>
    <x v="94"/>
    <x v="4"/>
    <x v="5"/>
    <x v="0"/>
    <x v="1"/>
    <x v="3"/>
    <x v="14"/>
  </r>
  <r>
    <x v="763"/>
    <x v="95"/>
    <x v="2"/>
    <x v="4"/>
    <x v="0"/>
    <x v="1"/>
    <x v="2"/>
    <x v="12"/>
  </r>
  <r>
    <x v="41"/>
    <x v="95"/>
    <x v="1"/>
    <x v="2"/>
    <x v="0"/>
    <x v="0"/>
    <x v="0"/>
    <x v="0"/>
  </r>
  <r>
    <x v="282"/>
    <x v="95"/>
    <x v="1"/>
    <x v="2"/>
    <x v="0"/>
    <x v="4"/>
    <x v="0"/>
    <x v="5"/>
  </r>
  <r>
    <x v="66"/>
    <x v="95"/>
    <x v="2"/>
    <x v="2"/>
    <x v="0"/>
    <x v="4"/>
    <x v="0"/>
    <x v="5"/>
  </r>
  <r>
    <x v="693"/>
    <x v="95"/>
    <x v="4"/>
    <x v="1"/>
    <x v="0"/>
    <x v="1"/>
    <x v="5"/>
    <x v="17"/>
  </r>
  <r>
    <x v="635"/>
    <x v="95"/>
    <x v="3"/>
    <x v="1"/>
    <x v="1"/>
    <x v="1"/>
    <x v="5"/>
    <x v="17"/>
  </r>
  <r>
    <x v="691"/>
    <x v="95"/>
    <x v="3"/>
    <x v="4"/>
    <x v="1"/>
    <x v="0"/>
    <x v="2"/>
    <x v="7"/>
  </r>
  <r>
    <x v="983"/>
    <x v="96"/>
    <x v="0"/>
    <x v="5"/>
    <x v="0"/>
    <x v="0"/>
    <x v="3"/>
    <x v="10"/>
  </r>
  <r>
    <x v="447"/>
    <x v="96"/>
    <x v="2"/>
    <x v="3"/>
    <x v="1"/>
    <x v="0"/>
    <x v="4"/>
    <x v="13"/>
  </r>
  <r>
    <x v="264"/>
    <x v="96"/>
    <x v="2"/>
    <x v="2"/>
    <x v="1"/>
    <x v="1"/>
    <x v="0"/>
    <x v="1"/>
  </r>
  <r>
    <x v="607"/>
    <x v="96"/>
    <x v="2"/>
    <x v="3"/>
    <x v="0"/>
    <x v="1"/>
    <x v="4"/>
    <x v="16"/>
  </r>
  <r>
    <x v="412"/>
    <x v="96"/>
    <x v="1"/>
    <x v="0"/>
    <x v="1"/>
    <x v="0"/>
    <x v="1"/>
    <x v="2"/>
  </r>
  <r>
    <x v="776"/>
    <x v="96"/>
    <x v="1"/>
    <x v="5"/>
    <x v="0"/>
    <x v="1"/>
    <x v="3"/>
    <x v="14"/>
  </r>
  <r>
    <x v="90"/>
    <x v="97"/>
    <x v="3"/>
    <x v="4"/>
    <x v="0"/>
    <x v="0"/>
    <x v="2"/>
    <x v="7"/>
  </r>
  <r>
    <x v="982"/>
    <x v="97"/>
    <x v="1"/>
    <x v="2"/>
    <x v="0"/>
    <x v="4"/>
    <x v="0"/>
    <x v="5"/>
  </r>
  <r>
    <x v="193"/>
    <x v="98"/>
    <x v="4"/>
    <x v="4"/>
    <x v="1"/>
    <x v="0"/>
    <x v="2"/>
    <x v="7"/>
  </r>
  <r>
    <x v="539"/>
    <x v="98"/>
    <x v="4"/>
    <x v="5"/>
    <x v="1"/>
    <x v="1"/>
    <x v="3"/>
    <x v="14"/>
  </r>
  <r>
    <x v="912"/>
    <x v="98"/>
    <x v="3"/>
    <x v="1"/>
    <x v="0"/>
    <x v="1"/>
    <x v="5"/>
    <x v="17"/>
  </r>
  <r>
    <x v="380"/>
    <x v="98"/>
    <x v="3"/>
    <x v="4"/>
    <x v="1"/>
    <x v="0"/>
    <x v="2"/>
    <x v="7"/>
  </r>
  <r>
    <x v="332"/>
    <x v="98"/>
    <x v="0"/>
    <x v="4"/>
    <x v="0"/>
    <x v="0"/>
    <x v="2"/>
    <x v="7"/>
  </r>
  <r>
    <x v="488"/>
    <x v="98"/>
    <x v="4"/>
    <x v="2"/>
    <x v="0"/>
    <x v="4"/>
    <x v="0"/>
    <x v="5"/>
  </r>
  <r>
    <x v="99"/>
    <x v="99"/>
    <x v="3"/>
    <x v="1"/>
    <x v="1"/>
    <x v="1"/>
    <x v="5"/>
    <x v="17"/>
  </r>
  <r>
    <x v="808"/>
    <x v="99"/>
    <x v="3"/>
    <x v="2"/>
    <x v="0"/>
    <x v="2"/>
    <x v="0"/>
    <x v="3"/>
  </r>
  <r>
    <x v="383"/>
    <x v="99"/>
    <x v="1"/>
    <x v="0"/>
    <x v="0"/>
    <x v="2"/>
    <x v="1"/>
    <x v="8"/>
  </r>
  <r>
    <x v="466"/>
    <x v="99"/>
    <x v="4"/>
    <x v="4"/>
    <x v="0"/>
    <x v="1"/>
    <x v="2"/>
    <x v="12"/>
  </r>
  <r>
    <x v="423"/>
    <x v="99"/>
    <x v="1"/>
    <x v="2"/>
    <x v="0"/>
    <x v="2"/>
    <x v="0"/>
    <x v="3"/>
  </r>
  <r>
    <x v="796"/>
    <x v="99"/>
    <x v="0"/>
    <x v="5"/>
    <x v="0"/>
    <x v="1"/>
    <x v="3"/>
    <x v="14"/>
  </r>
  <r>
    <x v="636"/>
    <x v="99"/>
    <x v="2"/>
    <x v="4"/>
    <x v="0"/>
    <x v="1"/>
    <x v="2"/>
    <x v="12"/>
  </r>
  <r>
    <x v="666"/>
    <x v="100"/>
    <x v="2"/>
    <x v="4"/>
    <x v="0"/>
    <x v="1"/>
    <x v="2"/>
    <x v="12"/>
  </r>
  <r>
    <x v="804"/>
    <x v="100"/>
    <x v="2"/>
    <x v="2"/>
    <x v="0"/>
    <x v="0"/>
    <x v="0"/>
    <x v="0"/>
  </r>
  <r>
    <x v="321"/>
    <x v="100"/>
    <x v="3"/>
    <x v="0"/>
    <x v="1"/>
    <x v="2"/>
    <x v="1"/>
    <x v="8"/>
  </r>
  <r>
    <x v="174"/>
    <x v="100"/>
    <x v="3"/>
    <x v="4"/>
    <x v="0"/>
    <x v="1"/>
    <x v="2"/>
    <x v="12"/>
  </r>
  <r>
    <x v="457"/>
    <x v="100"/>
    <x v="3"/>
    <x v="2"/>
    <x v="0"/>
    <x v="1"/>
    <x v="0"/>
    <x v="1"/>
  </r>
  <r>
    <x v="720"/>
    <x v="100"/>
    <x v="1"/>
    <x v="4"/>
    <x v="0"/>
    <x v="1"/>
    <x v="2"/>
    <x v="12"/>
  </r>
  <r>
    <x v="882"/>
    <x v="100"/>
    <x v="3"/>
    <x v="2"/>
    <x v="1"/>
    <x v="1"/>
    <x v="0"/>
    <x v="1"/>
  </r>
  <r>
    <x v="235"/>
    <x v="100"/>
    <x v="3"/>
    <x v="4"/>
    <x v="1"/>
    <x v="0"/>
    <x v="2"/>
    <x v="7"/>
  </r>
  <r>
    <x v="224"/>
    <x v="101"/>
    <x v="2"/>
    <x v="0"/>
    <x v="0"/>
    <x v="3"/>
    <x v="1"/>
    <x v="9"/>
  </r>
  <r>
    <x v="259"/>
    <x v="101"/>
    <x v="2"/>
    <x v="0"/>
    <x v="1"/>
    <x v="4"/>
    <x v="1"/>
    <x v="11"/>
  </r>
  <r>
    <x v="350"/>
    <x v="101"/>
    <x v="2"/>
    <x v="4"/>
    <x v="0"/>
    <x v="1"/>
    <x v="2"/>
    <x v="12"/>
  </r>
  <r>
    <x v="550"/>
    <x v="101"/>
    <x v="3"/>
    <x v="1"/>
    <x v="1"/>
    <x v="0"/>
    <x v="5"/>
    <x v="15"/>
  </r>
  <r>
    <x v="835"/>
    <x v="101"/>
    <x v="1"/>
    <x v="4"/>
    <x v="1"/>
    <x v="0"/>
    <x v="2"/>
    <x v="7"/>
  </r>
  <r>
    <x v="519"/>
    <x v="101"/>
    <x v="2"/>
    <x v="2"/>
    <x v="0"/>
    <x v="2"/>
    <x v="0"/>
    <x v="3"/>
  </r>
  <r>
    <x v="73"/>
    <x v="101"/>
    <x v="3"/>
    <x v="4"/>
    <x v="0"/>
    <x v="0"/>
    <x v="2"/>
    <x v="7"/>
  </r>
  <r>
    <x v="177"/>
    <x v="102"/>
    <x v="3"/>
    <x v="4"/>
    <x v="1"/>
    <x v="0"/>
    <x v="2"/>
    <x v="7"/>
  </r>
  <r>
    <x v="613"/>
    <x v="102"/>
    <x v="1"/>
    <x v="0"/>
    <x v="0"/>
    <x v="2"/>
    <x v="1"/>
    <x v="8"/>
  </r>
  <r>
    <x v="141"/>
    <x v="102"/>
    <x v="1"/>
    <x v="4"/>
    <x v="1"/>
    <x v="0"/>
    <x v="2"/>
    <x v="7"/>
  </r>
  <r>
    <x v="345"/>
    <x v="102"/>
    <x v="3"/>
    <x v="2"/>
    <x v="0"/>
    <x v="4"/>
    <x v="0"/>
    <x v="5"/>
  </r>
  <r>
    <x v="614"/>
    <x v="103"/>
    <x v="0"/>
    <x v="0"/>
    <x v="0"/>
    <x v="3"/>
    <x v="1"/>
    <x v="9"/>
  </r>
  <r>
    <x v="694"/>
    <x v="103"/>
    <x v="0"/>
    <x v="3"/>
    <x v="0"/>
    <x v="1"/>
    <x v="4"/>
    <x v="16"/>
  </r>
  <r>
    <x v="336"/>
    <x v="103"/>
    <x v="1"/>
    <x v="2"/>
    <x v="1"/>
    <x v="1"/>
    <x v="0"/>
    <x v="1"/>
  </r>
  <r>
    <x v="923"/>
    <x v="103"/>
    <x v="0"/>
    <x v="2"/>
    <x v="0"/>
    <x v="3"/>
    <x v="0"/>
    <x v="4"/>
  </r>
  <r>
    <x v="730"/>
    <x v="103"/>
    <x v="2"/>
    <x v="4"/>
    <x v="1"/>
    <x v="0"/>
    <x v="2"/>
    <x v="7"/>
  </r>
  <r>
    <x v="839"/>
    <x v="103"/>
    <x v="1"/>
    <x v="5"/>
    <x v="1"/>
    <x v="0"/>
    <x v="3"/>
    <x v="10"/>
  </r>
  <r>
    <x v="178"/>
    <x v="103"/>
    <x v="1"/>
    <x v="1"/>
    <x v="0"/>
    <x v="1"/>
    <x v="5"/>
    <x v="17"/>
  </r>
  <r>
    <x v="467"/>
    <x v="103"/>
    <x v="0"/>
    <x v="3"/>
    <x v="1"/>
    <x v="1"/>
    <x v="4"/>
    <x v="16"/>
  </r>
  <r>
    <x v="778"/>
    <x v="103"/>
    <x v="3"/>
    <x v="1"/>
    <x v="0"/>
    <x v="0"/>
    <x v="5"/>
    <x v="15"/>
  </r>
  <r>
    <x v="334"/>
    <x v="104"/>
    <x v="1"/>
    <x v="1"/>
    <x v="0"/>
    <x v="0"/>
    <x v="5"/>
    <x v="15"/>
  </r>
  <r>
    <x v="453"/>
    <x v="104"/>
    <x v="3"/>
    <x v="4"/>
    <x v="0"/>
    <x v="1"/>
    <x v="2"/>
    <x v="12"/>
  </r>
  <r>
    <x v="113"/>
    <x v="104"/>
    <x v="3"/>
    <x v="0"/>
    <x v="0"/>
    <x v="1"/>
    <x v="1"/>
    <x v="6"/>
  </r>
  <r>
    <x v="93"/>
    <x v="104"/>
    <x v="3"/>
    <x v="5"/>
    <x v="1"/>
    <x v="1"/>
    <x v="3"/>
    <x v="14"/>
  </r>
  <r>
    <x v="387"/>
    <x v="104"/>
    <x v="0"/>
    <x v="4"/>
    <x v="0"/>
    <x v="0"/>
    <x v="2"/>
    <x v="7"/>
  </r>
  <r>
    <x v="852"/>
    <x v="104"/>
    <x v="3"/>
    <x v="4"/>
    <x v="0"/>
    <x v="1"/>
    <x v="2"/>
    <x v="12"/>
  </r>
  <r>
    <x v="598"/>
    <x v="105"/>
    <x v="3"/>
    <x v="2"/>
    <x v="0"/>
    <x v="1"/>
    <x v="0"/>
    <x v="1"/>
  </r>
  <r>
    <x v="780"/>
    <x v="105"/>
    <x v="0"/>
    <x v="2"/>
    <x v="1"/>
    <x v="4"/>
    <x v="0"/>
    <x v="5"/>
  </r>
  <r>
    <x v="732"/>
    <x v="105"/>
    <x v="0"/>
    <x v="3"/>
    <x v="0"/>
    <x v="0"/>
    <x v="4"/>
    <x v="13"/>
  </r>
  <r>
    <x v="394"/>
    <x v="105"/>
    <x v="2"/>
    <x v="0"/>
    <x v="0"/>
    <x v="1"/>
    <x v="1"/>
    <x v="6"/>
  </r>
  <r>
    <x v="993"/>
    <x v="105"/>
    <x v="3"/>
    <x v="2"/>
    <x v="0"/>
    <x v="3"/>
    <x v="0"/>
    <x v="4"/>
  </r>
  <r>
    <x v="188"/>
    <x v="105"/>
    <x v="1"/>
    <x v="0"/>
    <x v="0"/>
    <x v="1"/>
    <x v="1"/>
    <x v="6"/>
  </r>
  <r>
    <x v="437"/>
    <x v="106"/>
    <x v="2"/>
    <x v="0"/>
    <x v="1"/>
    <x v="1"/>
    <x v="1"/>
    <x v="6"/>
  </r>
  <r>
    <x v="305"/>
    <x v="106"/>
    <x v="3"/>
    <x v="4"/>
    <x v="1"/>
    <x v="0"/>
    <x v="2"/>
    <x v="7"/>
  </r>
  <r>
    <x v="696"/>
    <x v="106"/>
    <x v="1"/>
    <x v="4"/>
    <x v="1"/>
    <x v="0"/>
    <x v="2"/>
    <x v="7"/>
  </r>
  <r>
    <x v="916"/>
    <x v="107"/>
    <x v="3"/>
    <x v="4"/>
    <x v="0"/>
    <x v="0"/>
    <x v="2"/>
    <x v="7"/>
  </r>
  <r>
    <x v="551"/>
    <x v="107"/>
    <x v="0"/>
    <x v="4"/>
    <x v="1"/>
    <x v="1"/>
    <x v="2"/>
    <x v="12"/>
  </r>
  <r>
    <x v="74"/>
    <x v="107"/>
    <x v="2"/>
    <x v="5"/>
    <x v="1"/>
    <x v="1"/>
    <x v="3"/>
    <x v="14"/>
  </r>
  <r>
    <x v="214"/>
    <x v="107"/>
    <x v="4"/>
    <x v="1"/>
    <x v="0"/>
    <x v="1"/>
    <x v="5"/>
    <x v="17"/>
  </r>
  <r>
    <x v="55"/>
    <x v="107"/>
    <x v="3"/>
    <x v="2"/>
    <x v="0"/>
    <x v="3"/>
    <x v="0"/>
    <x v="4"/>
  </r>
  <r>
    <x v="222"/>
    <x v="108"/>
    <x v="4"/>
    <x v="2"/>
    <x v="0"/>
    <x v="2"/>
    <x v="0"/>
    <x v="3"/>
  </r>
  <r>
    <x v="861"/>
    <x v="108"/>
    <x v="3"/>
    <x v="4"/>
    <x v="1"/>
    <x v="0"/>
    <x v="2"/>
    <x v="7"/>
  </r>
  <r>
    <x v="785"/>
    <x v="108"/>
    <x v="1"/>
    <x v="4"/>
    <x v="1"/>
    <x v="1"/>
    <x v="2"/>
    <x v="12"/>
  </r>
  <r>
    <x v="899"/>
    <x v="108"/>
    <x v="4"/>
    <x v="2"/>
    <x v="0"/>
    <x v="3"/>
    <x v="0"/>
    <x v="4"/>
  </r>
  <r>
    <x v="981"/>
    <x v="108"/>
    <x v="3"/>
    <x v="1"/>
    <x v="0"/>
    <x v="1"/>
    <x v="5"/>
    <x v="17"/>
  </r>
  <r>
    <x v="777"/>
    <x v="108"/>
    <x v="3"/>
    <x v="5"/>
    <x v="0"/>
    <x v="1"/>
    <x v="3"/>
    <x v="14"/>
  </r>
  <r>
    <x v="199"/>
    <x v="108"/>
    <x v="3"/>
    <x v="0"/>
    <x v="0"/>
    <x v="2"/>
    <x v="1"/>
    <x v="8"/>
  </r>
  <r>
    <x v="175"/>
    <x v="108"/>
    <x v="0"/>
    <x v="1"/>
    <x v="1"/>
    <x v="1"/>
    <x v="5"/>
    <x v="17"/>
  </r>
  <r>
    <x v="171"/>
    <x v="109"/>
    <x v="1"/>
    <x v="2"/>
    <x v="1"/>
    <x v="0"/>
    <x v="0"/>
    <x v="0"/>
  </r>
  <r>
    <x v="26"/>
    <x v="109"/>
    <x v="1"/>
    <x v="2"/>
    <x v="1"/>
    <x v="1"/>
    <x v="0"/>
    <x v="1"/>
  </r>
  <r>
    <x v="480"/>
    <x v="109"/>
    <x v="3"/>
    <x v="2"/>
    <x v="0"/>
    <x v="0"/>
    <x v="0"/>
    <x v="0"/>
  </r>
  <r>
    <x v="281"/>
    <x v="109"/>
    <x v="0"/>
    <x v="0"/>
    <x v="0"/>
    <x v="2"/>
    <x v="1"/>
    <x v="8"/>
  </r>
  <r>
    <x v="67"/>
    <x v="109"/>
    <x v="3"/>
    <x v="0"/>
    <x v="0"/>
    <x v="1"/>
    <x v="1"/>
    <x v="6"/>
  </r>
  <r>
    <x v="213"/>
    <x v="109"/>
    <x v="3"/>
    <x v="2"/>
    <x v="0"/>
    <x v="2"/>
    <x v="0"/>
    <x v="3"/>
  </r>
  <r>
    <x v="280"/>
    <x v="109"/>
    <x v="0"/>
    <x v="0"/>
    <x v="0"/>
    <x v="2"/>
    <x v="1"/>
    <x v="8"/>
  </r>
  <r>
    <x v="799"/>
    <x v="109"/>
    <x v="3"/>
    <x v="2"/>
    <x v="0"/>
    <x v="4"/>
    <x v="0"/>
    <x v="5"/>
  </r>
  <r>
    <x v="142"/>
    <x v="109"/>
    <x v="2"/>
    <x v="5"/>
    <x v="1"/>
    <x v="0"/>
    <x v="3"/>
    <x v="10"/>
  </r>
  <r>
    <x v="554"/>
    <x v="110"/>
    <x v="2"/>
    <x v="5"/>
    <x v="0"/>
    <x v="0"/>
    <x v="3"/>
    <x v="10"/>
  </r>
  <r>
    <x v="897"/>
    <x v="110"/>
    <x v="0"/>
    <x v="0"/>
    <x v="0"/>
    <x v="4"/>
    <x v="1"/>
    <x v="11"/>
  </r>
  <r>
    <x v="845"/>
    <x v="110"/>
    <x v="1"/>
    <x v="4"/>
    <x v="1"/>
    <x v="0"/>
    <x v="2"/>
    <x v="7"/>
  </r>
  <r>
    <x v="205"/>
    <x v="111"/>
    <x v="2"/>
    <x v="5"/>
    <x v="1"/>
    <x v="0"/>
    <x v="3"/>
    <x v="10"/>
  </r>
  <r>
    <x v="884"/>
    <x v="111"/>
    <x v="3"/>
    <x v="4"/>
    <x v="0"/>
    <x v="0"/>
    <x v="2"/>
    <x v="7"/>
  </r>
  <r>
    <x v="797"/>
    <x v="111"/>
    <x v="0"/>
    <x v="0"/>
    <x v="1"/>
    <x v="3"/>
    <x v="1"/>
    <x v="9"/>
  </r>
  <r>
    <x v="992"/>
    <x v="111"/>
    <x v="1"/>
    <x v="2"/>
    <x v="1"/>
    <x v="4"/>
    <x v="0"/>
    <x v="5"/>
  </r>
  <r>
    <x v="698"/>
    <x v="112"/>
    <x v="1"/>
    <x v="3"/>
    <x v="0"/>
    <x v="1"/>
    <x v="4"/>
    <x v="16"/>
  </r>
  <r>
    <x v="772"/>
    <x v="112"/>
    <x v="3"/>
    <x v="3"/>
    <x v="1"/>
    <x v="1"/>
    <x v="4"/>
    <x v="16"/>
  </r>
  <r>
    <x v="101"/>
    <x v="112"/>
    <x v="1"/>
    <x v="0"/>
    <x v="1"/>
    <x v="1"/>
    <x v="1"/>
    <x v="6"/>
  </r>
  <r>
    <x v="296"/>
    <x v="112"/>
    <x v="4"/>
    <x v="4"/>
    <x v="1"/>
    <x v="0"/>
    <x v="2"/>
    <x v="7"/>
  </r>
  <r>
    <x v="151"/>
    <x v="112"/>
    <x v="3"/>
    <x v="2"/>
    <x v="0"/>
    <x v="1"/>
    <x v="0"/>
    <x v="1"/>
  </r>
  <r>
    <x v="442"/>
    <x v="112"/>
    <x v="1"/>
    <x v="0"/>
    <x v="0"/>
    <x v="0"/>
    <x v="1"/>
    <x v="2"/>
  </r>
  <r>
    <x v="509"/>
    <x v="112"/>
    <x v="3"/>
    <x v="1"/>
    <x v="1"/>
    <x v="0"/>
    <x v="5"/>
    <x v="15"/>
  </r>
  <r>
    <x v="217"/>
    <x v="113"/>
    <x v="3"/>
    <x v="0"/>
    <x v="0"/>
    <x v="0"/>
    <x v="1"/>
    <x v="2"/>
  </r>
  <r>
    <x v="94"/>
    <x v="113"/>
    <x v="1"/>
    <x v="3"/>
    <x v="1"/>
    <x v="1"/>
    <x v="4"/>
    <x v="16"/>
  </r>
  <r>
    <x v="371"/>
    <x v="113"/>
    <x v="2"/>
    <x v="0"/>
    <x v="0"/>
    <x v="2"/>
    <x v="1"/>
    <x v="8"/>
  </r>
  <r>
    <x v="712"/>
    <x v="114"/>
    <x v="2"/>
    <x v="4"/>
    <x v="0"/>
    <x v="1"/>
    <x v="2"/>
    <x v="12"/>
  </r>
  <r>
    <x v="802"/>
    <x v="115"/>
    <x v="3"/>
    <x v="2"/>
    <x v="0"/>
    <x v="4"/>
    <x v="0"/>
    <x v="5"/>
  </r>
  <r>
    <x v="3"/>
    <x v="115"/>
    <x v="3"/>
    <x v="5"/>
    <x v="0"/>
    <x v="1"/>
    <x v="3"/>
    <x v="14"/>
  </r>
  <r>
    <x v="628"/>
    <x v="115"/>
    <x v="4"/>
    <x v="0"/>
    <x v="1"/>
    <x v="4"/>
    <x v="1"/>
    <x v="11"/>
  </r>
  <r>
    <x v="936"/>
    <x v="115"/>
    <x v="3"/>
    <x v="4"/>
    <x v="1"/>
    <x v="1"/>
    <x v="2"/>
    <x v="12"/>
  </r>
  <r>
    <x v="189"/>
    <x v="115"/>
    <x v="3"/>
    <x v="2"/>
    <x v="1"/>
    <x v="4"/>
    <x v="0"/>
    <x v="5"/>
  </r>
  <r>
    <x v="789"/>
    <x v="115"/>
    <x v="3"/>
    <x v="5"/>
    <x v="1"/>
    <x v="1"/>
    <x v="3"/>
    <x v="14"/>
  </r>
  <r>
    <x v="25"/>
    <x v="115"/>
    <x v="2"/>
    <x v="0"/>
    <x v="0"/>
    <x v="4"/>
    <x v="1"/>
    <x v="11"/>
  </r>
  <r>
    <x v="445"/>
    <x v="115"/>
    <x v="3"/>
    <x v="5"/>
    <x v="0"/>
    <x v="1"/>
    <x v="3"/>
    <x v="14"/>
  </r>
  <r>
    <x v="976"/>
    <x v="116"/>
    <x v="4"/>
    <x v="2"/>
    <x v="0"/>
    <x v="1"/>
    <x v="0"/>
    <x v="1"/>
  </r>
  <r>
    <x v="816"/>
    <x v="116"/>
    <x v="0"/>
    <x v="3"/>
    <x v="0"/>
    <x v="0"/>
    <x v="4"/>
    <x v="13"/>
  </r>
  <r>
    <x v="30"/>
    <x v="116"/>
    <x v="3"/>
    <x v="0"/>
    <x v="0"/>
    <x v="3"/>
    <x v="1"/>
    <x v="9"/>
  </r>
  <r>
    <x v="529"/>
    <x v="116"/>
    <x v="1"/>
    <x v="0"/>
    <x v="1"/>
    <x v="1"/>
    <x v="1"/>
    <x v="6"/>
  </r>
  <r>
    <x v="8"/>
    <x v="116"/>
    <x v="3"/>
    <x v="4"/>
    <x v="1"/>
    <x v="1"/>
    <x v="2"/>
    <x v="12"/>
  </r>
  <r>
    <x v="460"/>
    <x v="116"/>
    <x v="4"/>
    <x v="0"/>
    <x v="1"/>
    <x v="3"/>
    <x v="1"/>
    <x v="9"/>
  </r>
  <r>
    <x v="389"/>
    <x v="116"/>
    <x v="2"/>
    <x v="4"/>
    <x v="0"/>
    <x v="0"/>
    <x v="2"/>
    <x v="7"/>
  </r>
  <r>
    <x v="468"/>
    <x v="117"/>
    <x v="4"/>
    <x v="2"/>
    <x v="0"/>
    <x v="1"/>
    <x v="0"/>
    <x v="1"/>
  </r>
  <r>
    <x v="687"/>
    <x v="117"/>
    <x v="1"/>
    <x v="0"/>
    <x v="0"/>
    <x v="0"/>
    <x v="1"/>
    <x v="2"/>
  </r>
  <r>
    <x v="271"/>
    <x v="117"/>
    <x v="0"/>
    <x v="0"/>
    <x v="1"/>
    <x v="1"/>
    <x v="1"/>
    <x v="6"/>
  </r>
  <r>
    <x v="706"/>
    <x v="117"/>
    <x v="3"/>
    <x v="1"/>
    <x v="0"/>
    <x v="0"/>
    <x v="5"/>
    <x v="15"/>
  </r>
  <r>
    <x v="876"/>
    <x v="118"/>
    <x v="3"/>
    <x v="0"/>
    <x v="1"/>
    <x v="1"/>
    <x v="1"/>
    <x v="6"/>
  </r>
  <r>
    <x v="410"/>
    <x v="118"/>
    <x v="3"/>
    <x v="3"/>
    <x v="1"/>
    <x v="1"/>
    <x v="4"/>
    <x v="16"/>
  </r>
  <r>
    <x v="17"/>
    <x v="118"/>
    <x v="0"/>
    <x v="4"/>
    <x v="0"/>
    <x v="0"/>
    <x v="2"/>
    <x v="7"/>
  </r>
  <r>
    <x v="32"/>
    <x v="118"/>
    <x v="1"/>
    <x v="3"/>
    <x v="0"/>
    <x v="0"/>
    <x v="4"/>
    <x v="13"/>
  </r>
  <r>
    <x v="759"/>
    <x v="118"/>
    <x v="0"/>
    <x v="4"/>
    <x v="0"/>
    <x v="1"/>
    <x v="2"/>
    <x v="12"/>
  </r>
  <r>
    <x v="221"/>
    <x v="118"/>
    <x v="2"/>
    <x v="0"/>
    <x v="0"/>
    <x v="4"/>
    <x v="1"/>
    <x v="11"/>
  </r>
  <r>
    <x v="403"/>
    <x v="118"/>
    <x v="3"/>
    <x v="4"/>
    <x v="1"/>
    <x v="1"/>
    <x v="2"/>
    <x v="12"/>
  </r>
  <r>
    <x v="294"/>
    <x v="119"/>
    <x v="3"/>
    <x v="2"/>
    <x v="0"/>
    <x v="3"/>
    <x v="0"/>
    <x v="4"/>
  </r>
  <r>
    <x v="721"/>
    <x v="119"/>
    <x v="2"/>
    <x v="2"/>
    <x v="0"/>
    <x v="1"/>
    <x v="0"/>
    <x v="1"/>
  </r>
  <r>
    <x v="711"/>
    <x v="119"/>
    <x v="0"/>
    <x v="2"/>
    <x v="1"/>
    <x v="3"/>
    <x v="0"/>
    <x v="4"/>
  </r>
  <r>
    <x v="907"/>
    <x v="119"/>
    <x v="2"/>
    <x v="5"/>
    <x v="1"/>
    <x v="1"/>
    <x v="3"/>
    <x v="14"/>
  </r>
  <r>
    <x v="241"/>
    <x v="119"/>
    <x v="4"/>
    <x v="4"/>
    <x v="0"/>
    <x v="0"/>
    <x v="2"/>
    <x v="7"/>
  </r>
  <r>
    <x v="377"/>
    <x v="119"/>
    <x v="0"/>
    <x v="0"/>
    <x v="1"/>
    <x v="1"/>
    <x v="1"/>
    <x v="6"/>
  </r>
  <r>
    <x v="811"/>
    <x v="119"/>
    <x v="3"/>
    <x v="2"/>
    <x v="1"/>
    <x v="3"/>
    <x v="0"/>
    <x v="4"/>
  </r>
  <r>
    <x v="191"/>
    <x v="119"/>
    <x v="3"/>
    <x v="0"/>
    <x v="1"/>
    <x v="3"/>
    <x v="1"/>
    <x v="9"/>
  </r>
  <r>
    <x v="45"/>
    <x v="120"/>
    <x v="4"/>
    <x v="4"/>
    <x v="0"/>
    <x v="1"/>
    <x v="2"/>
    <x v="12"/>
  </r>
  <r>
    <x v="253"/>
    <x v="120"/>
    <x v="3"/>
    <x v="5"/>
    <x v="0"/>
    <x v="0"/>
    <x v="3"/>
    <x v="10"/>
  </r>
  <r>
    <x v="58"/>
    <x v="120"/>
    <x v="1"/>
    <x v="4"/>
    <x v="1"/>
    <x v="0"/>
    <x v="2"/>
    <x v="7"/>
  </r>
  <r>
    <x v="860"/>
    <x v="120"/>
    <x v="2"/>
    <x v="0"/>
    <x v="0"/>
    <x v="3"/>
    <x v="1"/>
    <x v="9"/>
  </r>
  <r>
    <x v="318"/>
    <x v="120"/>
    <x v="3"/>
    <x v="5"/>
    <x v="0"/>
    <x v="0"/>
    <x v="3"/>
    <x v="10"/>
  </r>
  <r>
    <x v="309"/>
    <x v="120"/>
    <x v="0"/>
    <x v="2"/>
    <x v="0"/>
    <x v="0"/>
    <x v="0"/>
    <x v="0"/>
  </r>
  <r>
    <x v="163"/>
    <x v="121"/>
    <x v="3"/>
    <x v="5"/>
    <x v="1"/>
    <x v="0"/>
    <x v="3"/>
    <x v="10"/>
  </r>
  <r>
    <x v="943"/>
    <x v="121"/>
    <x v="0"/>
    <x v="2"/>
    <x v="0"/>
    <x v="2"/>
    <x v="0"/>
    <x v="3"/>
  </r>
  <r>
    <x v="946"/>
    <x v="121"/>
    <x v="3"/>
    <x v="2"/>
    <x v="0"/>
    <x v="4"/>
    <x v="0"/>
    <x v="5"/>
  </r>
  <r>
    <x v="225"/>
    <x v="121"/>
    <x v="4"/>
    <x v="2"/>
    <x v="0"/>
    <x v="1"/>
    <x v="0"/>
    <x v="1"/>
  </r>
  <r>
    <x v="814"/>
    <x v="122"/>
    <x v="3"/>
    <x v="0"/>
    <x v="0"/>
    <x v="2"/>
    <x v="1"/>
    <x v="8"/>
  </r>
  <r>
    <x v="475"/>
    <x v="122"/>
    <x v="1"/>
    <x v="4"/>
    <x v="1"/>
    <x v="0"/>
    <x v="2"/>
    <x v="7"/>
  </r>
  <r>
    <x v="111"/>
    <x v="122"/>
    <x v="3"/>
    <x v="1"/>
    <x v="0"/>
    <x v="0"/>
    <x v="5"/>
    <x v="15"/>
  </r>
  <r>
    <x v="308"/>
    <x v="122"/>
    <x v="0"/>
    <x v="2"/>
    <x v="1"/>
    <x v="2"/>
    <x v="0"/>
    <x v="3"/>
  </r>
  <r>
    <x v="935"/>
    <x v="123"/>
    <x v="3"/>
    <x v="3"/>
    <x v="0"/>
    <x v="0"/>
    <x v="4"/>
    <x v="13"/>
  </r>
  <r>
    <x v="791"/>
    <x v="123"/>
    <x v="2"/>
    <x v="5"/>
    <x v="0"/>
    <x v="0"/>
    <x v="3"/>
    <x v="10"/>
  </r>
  <r>
    <x v="667"/>
    <x v="123"/>
    <x v="3"/>
    <x v="2"/>
    <x v="0"/>
    <x v="0"/>
    <x v="0"/>
    <x v="0"/>
  </r>
  <r>
    <x v="374"/>
    <x v="124"/>
    <x v="3"/>
    <x v="4"/>
    <x v="1"/>
    <x v="0"/>
    <x v="2"/>
    <x v="7"/>
  </r>
  <r>
    <x v="827"/>
    <x v="124"/>
    <x v="3"/>
    <x v="2"/>
    <x v="1"/>
    <x v="4"/>
    <x v="0"/>
    <x v="5"/>
  </r>
  <r>
    <x v="648"/>
    <x v="124"/>
    <x v="3"/>
    <x v="4"/>
    <x v="0"/>
    <x v="1"/>
    <x v="2"/>
    <x v="12"/>
  </r>
  <r>
    <x v="346"/>
    <x v="124"/>
    <x v="4"/>
    <x v="4"/>
    <x v="1"/>
    <x v="0"/>
    <x v="2"/>
    <x v="7"/>
  </r>
  <r>
    <x v="279"/>
    <x v="124"/>
    <x v="3"/>
    <x v="2"/>
    <x v="1"/>
    <x v="4"/>
    <x v="0"/>
    <x v="5"/>
  </r>
  <r>
    <x v="81"/>
    <x v="125"/>
    <x v="3"/>
    <x v="1"/>
    <x v="0"/>
    <x v="1"/>
    <x v="5"/>
    <x v="17"/>
  </r>
  <r>
    <x v="278"/>
    <x v="125"/>
    <x v="2"/>
    <x v="0"/>
    <x v="1"/>
    <x v="3"/>
    <x v="1"/>
    <x v="9"/>
  </r>
  <r>
    <x v="338"/>
    <x v="125"/>
    <x v="2"/>
    <x v="0"/>
    <x v="1"/>
    <x v="2"/>
    <x v="1"/>
    <x v="8"/>
  </r>
  <r>
    <x v="426"/>
    <x v="126"/>
    <x v="0"/>
    <x v="1"/>
    <x v="1"/>
    <x v="1"/>
    <x v="5"/>
    <x v="17"/>
  </r>
  <r>
    <x v="881"/>
    <x v="126"/>
    <x v="3"/>
    <x v="0"/>
    <x v="1"/>
    <x v="2"/>
    <x v="1"/>
    <x v="8"/>
  </r>
  <r>
    <x v="566"/>
    <x v="126"/>
    <x v="3"/>
    <x v="4"/>
    <x v="0"/>
    <x v="0"/>
    <x v="2"/>
    <x v="7"/>
  </r>
  <r>
    <x v="428"/>
    <x v="126"/>
    <x v="3"/>
    <x v="4"/>
    <x v="1"/>
    <x v="1"/>
    <x v="2"/>
    <x v="12"/>
  </r>
  <r>
    <x v="567"/>
    <x v="126"/>
    <x v="2"/>
    <x v="1"/>
    <x v="0"/>
    <x v="0"/>
    <x v="5"/>
    <x v="15"/>
  </r>
  <r>
    <x v="263"/>
    <x v="126"/>
    <x v="3"/>
    <x v="0"/>
    <x v="1"/>
    <x v="1"/>
    <x v="1"/>
    <x v="6"/>
  </r>
  <r>
    <x v="136"/>
    <x v="126"/>
    <x v="0"/>
    <x v="0"/>
    <x v="1"/>
    <x v="1"/>
    <x v="1"/>
    <x v="6"/>
  </r>
  <r>
    <x v="987"/>
    <x v="126"/>
    <x v="1"/>
    <x v="2"/>
    <x v="1"/>
    <x v="2"/>
    <x v="0"/>
    <x v="3"/>
  </r>
  <r>
    <x v="87"/>
    <x v="126"/>
    <x v="0"/>
    <x v="2"/>
    <x v="0"/>
    <x v="3"/>
    <x v="0"/>
    <x v="4"/>
  </r>
  <r>
    <x v="12"/>
    <x v="127"/>
    <x v="4"/>
    <x v="2"/>
    <x v="0"/>
    <x v="2"/>
    <x v="0"/>
    <x v="3"/>
  </r>
  <r>
    <x v="578"/>
    <x v="127"/>
    <x v="2"/>
    <x v="5"/>
    <x v="1"/>
    <x v="0"/>
    <x v="3"/>
    <x v="10"/>
  </r>
  <r>
    <x v="272"/>
    <x v="127"/>
    <x v="3"/>
    <x v="0"/>
    <x v="0"/>
    <x v="4"/>
    <x v="1"/>
    <x v="11"/>
  </r>
  <r>
    <x v="647"/>
    <x v="127"/>
    <x v="1"/>
    <x v="4"/>
    <x v="1"/>
    <x v="0"/>
    <x v="2"/>
    <x v="7"/>
  </r>
  <r>
    <x v="798"/>
    <x v="127"/>
    <x v="2"/>
    <x v="0"/>
    <x v="0"/>
    <x v="2"/>
    <x v="1"/>
    <x v="8"/>
  </r>
  <r>
    <x v="669"/>
    <x v="128"/>
    <x v="1"/>
    <x v="0"/>
    <x v="0"/>
    <x v="0"/>
    <x v="1"/>
    <x v="2"/>
  </r>
  <r>
    <x v="599"/>
    <x v="128"/>
    <x v="2"/>
    <x v="1"/>
    <x v="0"/>
    <x v="0"/>
    <x v="5"/>
    <x v="15"/>
  </r>
  <r>
    <x v="920"/>
    <x v="128"/>
    <x v="3"/>
    <x v="1"/>
    <x v="0"/>
    <x v="1"/>
    <x v="5"/>
    <x v="17"/>
  </r>
  <r>
    <x v="273"/>
    <x v="129"/>
    <x v="1"/>
    <x v="4"/>
    <x v="0"/>
    <x v="1"/>
    <x v="2"/>
    <x v="12"/>
  </r>
  <r>
    <x v="361"/>
    <x v="129"/>
    <x v="2"/>
    <x v="0"/>
    <x v="0"/>
    <x v="4"/>
    <x v="1"/>
    <x v="11"/>
  </r>
  <r>
    <x v="476"/>
    <x v="129"/>
    <x v="2"/>
    <x v="2"/>
    <x v="1"/>
    <x v="2"/>
    <x v="0"/>
    <x v="3"/>
  </r>
  <r>
    <x v="402"/>
    <x v="130"/>
    <x v="4"/>
    <x v="4"/>
    <x v="0"/>
    <x v="1"/>
    <x v="2"/>
    <x v="12"/>
  </r>
  <r>
    <x v="363"/>
    <x v="130"/>
    <x v="4"/>
    <x v="4"/>
    <x v="1"/>
    <x v="0"/>
    <x v="2"/>
    <x v="7"/>
  </r>
  <r>
    <x v="14"/>
    <x v="130"/>
    <x v="3"/>
    <x v="4"/>
    <x v="0"/>
    <x v="1"/>
    <x v="2"/>
    <x v="12"/>
  </r>
  <r>
    <x v="854"/>
    <x v="130"/>
    <x v="4"/>
    <x v="5"/>
    <x v="0"/>
    <x v="1"/>
    <x v="3"/>
    <x v="14"/>
  </r>
  <r>
    <x v="368"/>
    <x v="130"/>
    <x v="3"/>
    <x v="1"/>
    <x v="0"/>
    <x v="1"/>
    <x v="5"/>
    <x v="17"/>
  </r>
  <r>
    <x v="815"/>
    <x v="130"/>
    <x v="4"/>
    <x v="2"/>
    <x v="1"/>
    <x v="2"/>
    <x v="0"/>
    <x v="3"/>
  </r>
  <r>
    <x v="124"/>
    <x v="131"/>
    <x v="2"/>
    <x v="0"/>
    <x v="0"/>
    <x v="4"/>
    <x v="1"/>
    <x v="11"/>
  </r>
  <r>
    <x v="22"/>
    <x v="131"/>
    <x v="3"/>
    <x v="2"/>
    <x v="0"/>
    <x v="4"/>
    <x v="0"/>
    <x v="5"/>
  </r>
  <r>
    <x v="703"/>
    <x v="131"/>
    <x v="1"/>
    <x v="0"/>
    <x v="0"/>
    <x v="0"/>
    <x v="1"/>
    <x v="2"/>
  </r>
  <r>
    <x v="862"/>
    <x v="131"/>
    <x v="4"/>
    <x v="1"/>
    <x v="0"/>
    <x v="1"/>
    <x v="5"/>
    <x v="17"/>
  </r>
  <r>
    <x v="654"/>
    <x v="131"/>
    <x v="1"/>
    <x v="0"/>
    <x v="1"/>
    <x v="4"/>
    <x v="1"/>
    <x v="11"/>
  </r>
  <r>
    <x v="915"/>
    <x v="132"/>
    <x v="2"/>
    <x v="3"/>
    <x v="0"/>
    <x v="0"/>
    <x v="4"/>
    <x v="13"/>
  </r>
  <r>
    <x v="137"/>
    <x v="132"/>
    <x v="3"/>
    <x v="0"/>
    <x v="0"/>
    <x v="3"/>
    <x v="1"/>
    <x v="9"/>
  </r>
  <r>
    <x v="606"/>
    <x v="132"/>
    <x v="3"/>
    <x v="4"/>
    <x v="0"/>
    <x v="0"/>
    <x v="2"/>
    <x v="7"/>
  </r>
  <r>
    <x v="97"/>
    <x v="132"/>
    <x v="2"/>
    <x v="4"/>
    <x v="0"/>
    <x v="1"/>
    <x v="2"/>
    <x v="12"/>
  </r>
  <r>
    <x v="200"/>
    <x v="132"/>
    <x v="0"/>
    <x v="4"/>
    <x v="0"/>
    <x v="1"/>
    <x v="2"/>
    <x v="12"/>
  </r>
  <r>
    <x v="138"/>
    <x v="133"/>
    <x v="2"/>
    <x v="3"/>
    <x v="0"/>
    <x v="0"/>
    <x v="4"/>
    <x v="13"/>
  </r>
  <r>
    <x v="547"/>
    <x v="133"/>
    <x v="3"/>
    <x v="1"/>
    <x v="0"/>
    <x v="0"/>
    <x v="5"/>
    <x v="15"/>
  </r>
  <r>
    <x v="642"/>
    <x v="133"/>
    <x v="1"/>
    <x v="2"/>
    <x v="0"/>
    <x v="0"/>
    <x v="0"/>
    <x v="0"/>
  </r>
  <r>
    <x v="819"/>
    <x v="133"/>
    <x v="2"/>
    <x v="2"/>
    <x v="1"/>
    <x v="0"/>
    <x v="0"/>
    <x v="0"/>
  </r>
  <r>
    <x v="511"/>
    <x v="133"/>
    <x v="2"/>
    <x v="5"/>
    <x v="0"/>
    <x v="0"/>
    <x v="3"/>
    <x v="10"/>
  </r>
  <r>
    <x v="373"/>
    <x v="133"/>
    <x v="1"/>
    <x v="1"/>
    <x v="0"/>
    <x v="1"/>
    <x v="5"/>
    <x v="17"/>
  </r>
  <r>
    <x v="689"/>
    <x v="134"/>
    <x v="0"/>
    <x v="3"/>
    <x v="0"/>
    <x v="1"/>
    <x v="4"/>
    <x v="16"/>
  </r>
  <r>
    <x v="601"/>
    <x v="134"/>
    <x v="0"/>
    <x v="0"/>
    <x v="0"/>
    <x v="3"/>
    <x v="1"/>
    <x v="9"/>
  </r>
  <r>
    <x v="573"/>
    <x v="134"/>
    <x v="3"/>
    <x v="2"/>
    <x v="0"/>
    <x v="2"/>
    <x v="0"/>
    <x v="3"/>
  </r>
  <r>
    <x v="244"/>
    <x v="134"/>
    <x v="2"/>
    <x v="0"/>
    <x v="0"/>
    <x v="2"/>
    <x v="1"/>
    <x v="8"/>
  </r>
  <r>
    <x v="265"/>
    <x v="134"/>
    <x v="0"/>
    <x v="4"/>
    <x v="1"/>
    <x v="1"/>
    <x v="2"/>
    <x v="12"/>
  </r>
  <r>
    <x v="407"/>
    <x v="134"/>
    <x v="3"/>
    <x v="2"/>
    <x v="1"/>
    <x v="0"/>
    <x v="0"/>
    <x v="0"/>
  </r>
  <r>
    <x v="386"/>
    <x v="134"/>
    <x v="4"/>
    <x v="4"/>
    <x v="0"/>
    <x v="1"/>
    <x v="2"/>
    <x v="12"/>
  </r>
  <r>
    <x v="106"/>
    <x v="134"/>
    <x v="2"/>
    <x v="2"/>
    <x v="0"/>
    <x v="1"/>
    <x v="0"/>
    <x v="1"/>
  </r>
  <r>
    <x v="589"/>
    <x v="135"/>
    <x v="1"/>
    <x v="0"/>
    <x v="1"/>
    <x v="4"/>
    <x v="1"/>
    <x v="11"/>
  </r>
  <r>
    <x v="651"/>
    <x v="135"/>
    <x v="3"/>
    <x v="0"/>
    <x v="0"/>
    <x v="2"/>
    <x v="1"/>
    <x v="8"/>
  </r>
  <r>
    <x v="474"/>
    <x v="135"/>
    <x v="1"/>
    <x v="4"/>
    <x v="1"/>
    <x v="0"/>
    <x v="2"/>
    <x v="7"/>
  </r>
  <r>
    <x v="888"/>
    <x v="136"/>
    <x v="4"/>
    <x v="2"/>
    <x v="0"/>
    <x v="4"/>
    <x v="0"/>
    <x v="5"/>
  </r>
  <r>
    <x v="122"/>
    <x v="136"/>
    <x v="2"/>
    <x v="2"/>
    <x v="0"/>
    <x v="0"/>
    <x v="0"/>
    <x v="0"/>
  </r>
  <r>
    <x v="561"/>
    <x v="136"/>
    <x v="2"/>
    <x v="2"/>
    <x v="0"/>
    <x v="0"/>
    <x v="0"/>
    <x v="0"/>
  </r>
  <r>
    <x v="893"/>
    <x v="136"/>
    <x v="3"/>
    <x v="5"/>
    <x v="1"/>
    <x v="1"/>
    <x v="3"/>
    <x v="14"/>
  </r>
  <r>
    <x v="27"/>
    <x v="136"/>
    <x v="3"/>
    <x v="2"/>
    <x v="0"/>
    <x v="2"/>
    <x v="0"/>
    <x v="3"/>
  </r>
  <r>
    <x v="319"/>
    <x v="137"/>
    <x v="2"/>
    <x v="2"/>
    <x v="1"/>
    <x v="1"/>
    <x v="0"/>
    <x v="1"/>
  </r>
  <r>
    <x v="781"/>
    <x v="137"/>
    <x v="3"/>
    <x v="0"/>
    <x v="1"/>
    <x v="3"/>
    <x v="1"/>
    <x v="9"/>
  </r>
  <r>
    <x v="985"/>
    <x v="137"/>
    <x v="2"/>
    <x v="5"/>
    <x v="0"/>
    <x v="0"/>
    <x v="3"/>
    <x v="10"/>
  </r>
  <r>
    <x v="833"/>
    <x v="137"/>
    <x v="3"/>
    <x v="0"/>
    <x v="1"/>
    <x v="1"/>
    <x v="1"/>
    <x v="6"/>
  </r>
  <r>
    <x v="894"/>
    <x v="138"/>
    <x v="4"/>
    <x v="2"/>
    <x v="0"/>
    <x v="2"/>
    <x v="0"/>
    <x v="3"/>
  </r>
  <r>
    <x v="700"/>
    <x v="138"/>
    <x v="3"/>
    <x v="4"/>
    <x v="0"/>
    <x v="0"/>
    <x v="2"/>
    <x v="7"/>
  </r>
  <r>
    <x v="209"/>
    <x v="138"/>
    <x v="2"/>
    <x v="4"/>
    <x v="0"/>
    <x v="0"/>
    <x v="2"/>
    <x v="7"/>
  </r>
  <r>
    <x v="298"/>
    <x v="138"/>
    <x v="3"/>
    <x v="5"/>
    <x v="0"/>
    <x v="1"/>
    <x v="3"/>
    <x v="14"/>
  </r>
  <r>
    <x v="198"/>
    <x v="138"/>
    <x v="2"/>
    <x v="0"/>
    <x v="0"/>
    <x v="1"/>
    <x v="1"/>
    <x v="6"/>
  </r>
  <r>
    <x v="409"/>
    <x v="139"/>
    <x v="2"/>
    <x v="2"/>
    <x v="0"/>
    <x v="4"/>
    <x v="0"/>
    <x v="5"/>
  </r>
  <r>
    <x v="411"/>
    <x v="139"/>
    <x v="4"/>
    <x v="5"/>
    <x v="0"/>
    <x v="0"/>
    <x v="3"/>
    <x v="10"/>
  </r>
  <r>
    <x v="950"/>
    <x v="139"/>
    <x v="4"/>
    <x v="4"/>
    <x v="0"/>
    <x v="1"/>
    <x v="2"/>
    <x v="12"/>
  </r>
  <r>
    <x v="546"/>
    <x v="139"/>
    <x v="2"/>
    <x v="4"/>
    <x v="0"/>
    <x v="0"/>
    <x v="2"/>
    <x v="7"/>
  </r>
  <r>
    <x v="725"/>
    <x v="140"/>
    <x v="3"/>
    <x v="4"/>
    <x v="1"/>
    <x v="1"/>
    <x v="2"/>
    <x v="12"/>
  </r>
  <r>
    <x v="145"/>
    <x v="140"/>
    <x v="2"/>
    <x v="4"/>
    <x v="0"/>
    <x v="0"/>
    <x v="2"/>
    <x v="7"/>
  </r>
  <r>
    <x v="532"/>
    <x v="140"/>
    <x v="3"/>
    <x v="1"/>
    <x v="0"/>
    <x v="1"/>
    <x v="5"/>
    <x v="17"/>
  </r>
  <r>
    <x v="481"/>
    <x v="140"/>
    <x v="1"/>
    <x v="0"/>
    <x v="0"/>
    <x v="4"/>
    <x v="1"/>
    <x v="11"/>
  </r>
  <r>
    <x v="579"/>
    <x v="140"/>
    <x v="3"/>
    <x v="3"/>
    <x v="1"/>
    <x v="1"/>
    <x v="4"/>
    <x v="16"/>
  </r>
  <r>
    <x v="401"/>
    <x v="140"/>
    <x v="3"/>
    <x v="2"/>
    <x v="0"/>
    <x v="0"/>
    <x v="0"/>
    <x v="0"/>
  </r>
  <r>
    <x v="246"/>
    <x v="140"/>
    <x v="1"/>
    <x v="2"/>
    <x v="0"/>
    <x v="1"/>
    <x v="0"/>
    <x v="1"/>
  </r>
  <r>
    <x v="692"/>
    <x v="140"/>
    <x v="3"/>
    <x v="0"/>
    <x v="0"/>
    <x v="3"/>
    <x v="1"/>
    <x v="9"/>
  </r>
  <r>
    <x v="327"/>
    <x v="141"/>
    <x v="1"/>
    <x v="0"/>
    <x v="0"/>
    <x v="0"/>
    <x v="1"/>
    <x v="2"/>
  </r>
  <r>
    <x v="699"/>
    <x v="141"/>
    <x v="3"/>
    <x v="1"/>
    <x v="1"/>
    <x v="0"/>
    <x v="5"/>
    <x v="15"/>
  </r>
  <r>
    <x v="727"/>
    <x v="141"/>
    <x v="4"/>
    <x v="3"/>
    <x v="1"/>
    <x v="1"/>
    <x v="4"/>
    <x v="16"/>
  </r>
  <r>
    <x v="690"/>
    <x v="141"/>
    <x v="4"/>
    <x v="4"/>
    <x v="0"/>
    <x v="1"/>
    <x v="2"/>
    <x v="12"/>
  </r>
  <r>
    <x v="873"/>
    <x v="142"/>
    <x v="3"/>
    <x v="0"/>
    <x v="0"/>
    <x v="1"/>
    <x v="1"/>
    <x v="6"/>
  </r>
  <r>
    <x v="194"/>
    <x v="142"/>
    <x v="4"/>
    <x v="0"/>
    <x v="1"/>
    <x v="3"/>
    <x v="1"/>
    <x v="9"/>
  </r>
  <r>
    <x v="313"/>
    <x v="142"/>
    <x v="3"/>
    <x v="5"/>
    <x v="0"/>
    <x v="1"/>
    <x v="3"/>
    <x v="14"/>
  </r>
  <r>
    <x v="702"/>
    <x v="142"/>
    <x v="1"/>
    <x v="2"/>
    <x v="1"/>
    <x v="0"/>
    <x v="0"/>
    <x v="0"/>
  </r>
  <r>
    <x v="438"/>
    <x v="142"/>
    <x v="3"/>
    <x v="4"/>
    <x v="1"/>
    <x v="0"/>
    <x v="2"/>
    <x v="7"/>
  </r>
  <r>
    <x v="204"/>
    <x v="142"/>
    <x v="3"/>
    <x v="5"/>
    <x v="0"/>
    <x v="0"/>
    <x v="3"/>
    <x v="10"/>
  </r>
  <r>
    <x v="187"/>
    <x v="142"/>
    <x v="4"/>
    <x v="4"/>
    <x v="1"/>
    <x v="1"/>
    <x v="2"/>
    <x v="12"/>
  </r>
  <r>
    <x v="634"/>
    <x v="142"/>
    <x v="3"/>
    <x v="2"/>
    <x v="1"/>
    <x v="2"/>
    <x v="0"/>
    <x v="3"/>
  </r>
  <r>
    <x v="944"/>
    <x v="142"/>
    <x v="3"/>
    <x v="0"/>
    <x v="1"/>
    <x v="3"/>
    <x v="1"/>
    <x v="9"/>
  </r>
  <r>
    <x v="527"/>
    <x v="142"/>
    <x v="4"/>
    <x v="1"/>
    <x v="0"/>
    <x v="1"/>
    <x v="5"/>
    <x v="17"/>
  </r>
  <r>
    <x v="11"/>
    <x v="143"/>
    <x v="0"/>
    <x v="4"/>
    <x v="0"/>
    <x v="1"/>
    <x v="2"/>
    <x v="12"/>
  </r>
  <r>
    <x v="72"/>
    <x v="143"/>
    <x v="3"/>
    <x v="0"/>
    <x v="1"/>
    <x v="3"/>
    <x v="1"/>
    <x v="9"/>
  </r>
  <r>
    <x v="119"/>
    <x v="143"/>
    <x v="4"/>
    <x v="1"/>
    <x v="1"/>
    <x v="1"/>
    <x v="5"/>
    <x v="17"/>
  </r>
  <r>
    <x v="991"/>
    <x v="143"/>
    <x v="0"/>
    <x v="4"/>
    <x v="0"/>
    <x v="1"/>
    <x v="2"/>
    <x v="12"/>
  </r>
  <r>
    <x v="116"/>
    <x v="144"/>
    <x v="2"/>
    <x v="4"/>
    <x v="1"/>
    <x v="0"/>
    <x v="2"/>
    <x v="7"/>
  </r>
  <r>
    <x v="65"/>
    <x v="144"/>
    <x v="3"/>
    <x v="4"/>
    <x v="1"/>
    <x v="1"/>
    <x v="2"/>
    <x v="12"/>
  </r>
  <r>
    <x v="112"/>
    <x v="144"/>
    <x v="0"/>
    <x v="2"/>
    <x v="1"/>
    <x v="0"/>
    <x v="0"/>
    <x v="0"/>
  </r>
  <r>
    <x v="572"/>
    <x v="145"/>
    <x v="3"/>
    <x v="3"/>
    <x v="0"/>
    <x v="1"/>
    <x v="4"/>
    <x v="16"/>
  </r>
  <r>
    <x v="590"/>
    <x v="145"/>
    <x v="4"/>
    <x v="2"/>
    <x v="1"/>
    <x v="1"/>
    <x v="0"/>
    <x v="1"/>
  </r>
  <r>
    <x v="847"/>
    <x v="145"/>
    <x v="2"/>
    <x v="3"/>
    <x v="1"/>
    <x v="1"/>
    <x v="4"/>
    <x v="16"/>
  </r>
  <r>
    <x v="662"/>
    <x v="145"/>
    <x v="2"/>
    <x v="1"/>
    <x v="0"/>
    <x v="0"/>
    <x v="5"/>
    <x v="15"/>
  </r>
  <r>
    <x v="530"/>
    <x v="146"/>
    <x v="4"/>
    <x v="5"/>
    <x v="1"/>
    <x v="0"/>
    <x v="3"/>
    <x v="10"/>
  </r>
  <r>
    <x v="924"/>
    <x v="146"/>
    <x v="0"/>
    <x v="4"/>
    <x v="0"/>
    <x v="0"/>
    <x v="2"/>
    <x v="7"/>
  </r>
  <r>
    <x v="357"/>
    <x v="146"/>
    <x v="0"/>
    <x v="0"/>
    <x v="0"/>
    <x v="0"/>
    <x v="1"/>
    <x v="2"/>
  </r>
  <r>
    <x v="370"/>
    <x v="146"/>
    <x v="2"/>
    <x v="0"/>
    <x v="0"/>
    <x v="0"/>
    <x v="1"/>
    <x v="2"/>
  </r>
  <r>
    <x v="756"/>
    <x v="146"/>
    <x v="2"/>
    <x v="4"/>
    <x v="1"/>
    <x v="1"/>
    <x v="2"/>
    <x v="12"/>
  </r>
  <r>
    <x v="684"/>
    <x v="146"/>
    <x v="0"/>
    <x v="0"/>
    <x v="0"/>
    <x v="2"/>
    <x v="1"/>
    <x v="8"/>
  </r>
  <r>
    <x v="659"/>
    <x v="147"/>
    <x v="0"/>
    <x v="4"/>
    <x v="0"/>
    <x v="0"/>
    <x v="2"/>
    <x v="7"/>
  </r>
  <r>
    <x v="885"/>
    <x v="147"/>
    <x v="0"/>
    <x v="2"/>
    <x v="0"/>
    <x v="1"/>
    <x v="0"/>
    <x v="1"/>
  </r>
  <r>
    <x v="201"/>
    <x v="147"/>
    <x v="3"/>
    <x v="1"/>
    <x v="1"/>
    <x v="0"/>
    <x v="5"/>
    <x v="15"/>
  </r>
  <r>
    <x v="968"/>
    <x v="147"/>
    <x v="3"/>
    <x v="2"/>
    <x v="1"/>
    <x v="1"/>
    <x v="0"/>
    <x v="1"/>
  </r>
  <r>
    <x v="255"/>
    <x v="148"/>
    <x v="3"/>
    <x v="1"/>
    <x v="1"/>
    <x v="1"/>
    <x v="5"/>
    <x v="17"/>
  </r>
  <r>
    <x v="226"/>
    <x v="148"/>
    <x v="1"/>
    <x v="2"/>
    <x v="1"/>
    <x v="3"/>
    <x v="0"/>
    <x v="4"/>
  </r>
  <r>
    <x v="464"/>
    <x v="148"/>
    <x v="1"/>
    <x v="2"/>
    <x v="0"/>
    <x v="2"/>
    <x v="0"/>
    <x v="3"/>
  </r>
  <r>
    <x v="989"/>
    <x v="149"/>
    <x v="3"/>
    <x v="4"/>
    <x v="0"/>
    <x v="0"/>
    <x v="2"/>
    <x v="7"/>
  </r>
  <r>
    <x v="953"/>
    <x v="149"/>
    <x v="1"/>
    <x v="3"/>
    <x v="1"/>
    <x v="0"/>
    <x v="4"/>
    <x v="13"/>
  </r>
  <r>
    <x v="844"/>
    <x v="149"/>
    <x v="1"/>
    <x v="0"/>
    <x v="1"/>
    <x v="2"/>
    <x v="1"/>
    <x v="8"/>
  </r>
  <r>
    <x v="643"/>
    <x v="149"/>
    <x v="2"/>
    <x v="3"/>
    <x v="1"/>
    <x v="0"/>
    <x v="4"/>
    <x v="13"/>
  </r>
  <r>
    <x v="31"/>
    <x v="149"/>
    <x v="3"/>
    <x v="2"/>
    <x v="1"/>
    <x v="1"/>
    <x v="0"/>
    <x v="1"/>
  </r>
  <r>
    <x v="951"/>
    <x v="149"/>
    <x v="4"/>
    <x v="0"/>
    <x v="1"/>
    <x v="4"/>
    <x v="1"/>
    <x v="11"/>
  </r>
  <r>
    <x v="673"/>
    <x v="149"/>
    <x v="2"/>
    <x v="4"/>
    <x v="0"/>
    <x v="1"/>
    <x v="2"/>
    <x v="12"/>
  </r>
  <r>
    <x v="670"/>
    <x v="149"/>
    <x v="3"/>
    <x v="4"/>
    <x v="0"/>
    <x v="0"/>
    <x v="2"/>
    <x v="7"/>
  </r>
  <r>
    <x v="10"/>
    <x v="150"/>
    <x v="3"/>
    <x v="4"/>
    <x v="0"/>
    <x v="0"/>
    <x v="2"/>
    <x v="7"/>
  </r>
  <r>
    <x v="46"/>
    <x v="150"/>
    <x v="3"/>
    <x v="3"/>
    <x v="0"/>
    <x v="1"/>
    <x v="4"/>
    <x v="16"/>
  </r>
  <r>
    <x v="795"/>
    <x v="150"/>
    <x v="2"/>
    <x v="0"/>
    <x v="0"/>
    <x v="2"/>
    <x v="1"/>
    <x v="8"/>
  </r>
  <r>
    <x v="726"/>
    <x v="151"/>
    <x v="3"/>
    <x v="0"/>
    <x v="1"/>
    <x v="0"/>
    <x v="1"/>
    <x v="2"/>
  </r>
  <r>
    <x v="745"/>
    <x v="151"/>
    <x v="3"/>
    <x v="2"/>
    <x v="0"/>
    <x v="0"/>
    <x v="0"/>
    <x v="0"/>
  </r>
  <r>
    <x v="977"/>
    <x v="151"/>
    <x v="2"/>
    <x v="2"/>
    <x v="0"/>
    <x v="1"/>
    <x v="0"/>
    <x v="1"/>
  </r>
  <r>
    <x v="496"/>
    <x v="151"/>
    <x v="1"/>
    <x v="2"/>
    <x v="1"/>
    <x v="1"/>
    <x v="0"/>
    <x v="1"/>
  </r>
  <r>
    <x v="641"/>
    <x v="152"/>
    <x v="2"/>
    <x v="2"/>
    <x v="1"/>
    <x v="3"/>
    <x v="0"/>
    <x v="4"/>
  </r>
  <r>
    <x v="959"/>
    <x v="152"/>
    <x v="3"/>
    <x v="1"/>
    <x v="1"/>
    <x v="0"/>
    <x v="5"/>
    <x v="15"/>
  </r>
  <r>
    <x v="921"/>
    <x v="152"/>
    <x v="0"/>
    <x v="4"/>
    <x v="0"/>
    <x v="1"/>
    <x v="2"/>
    <x v="12"/>
  </r>
  <r>
    <x v="623"/>
    <x v="152"/>
    <x v="3"/>
    <x v="5"/>
    <x v="1"/>
    <x v="1"/>
    <x v="3"/>
    <x v="14"/>
  </r>
  <r>
    <x v="275"/>
    <x v="152"/>
    <x v="1"/>
    <x v="4"/>
    <x v="0"/>
    <x v="0"/>
    <x v="2"/>
    <x v="7"/>
  </r>
  <r>
    <x v="676"/>
    <x v="153"/>
    <x v="1"/>
    <x v="0"/>
    <x v="1"/>
    <x v="0"/>
    <x v="1"/>
    <x v="2"/>
  </r>
  <r>
    <x v="170"/>
    <x v="153"/>
    <x v="3"/>
    <x v="2"/>
    <x v="1"/>
    <x v="0"/>
    <x v="0"/>
    <x v="0"/>
  </r>
  <r>
    <x v="672"/>
    <x v="153"/>
    <x v="1"/>
    <x v="2"/>
    <x v="0"/>
    <x v="2"/>
    <x v="0"/>
    <x v="3"/>
  </r>
  <r>
    <x v="758"/>
    <x v="153"/>
    <x v="4"/>
    <x v="4"/>
    <x v="0"/>
    <x v="0"/>
    <x v="2"/>
    <x v="7"/>
  </r>
  <r>
    <x v="400"/>
    <x v="153"/>
    <x v="0"/>
    <x v="0"/>
    <x v="1"/>
    <x v="0"/>
    <x v="1"/>
    <x v="2"/>
  </r>
  <r>
    <x v="365"/>
    <x v="153"/>
    <x v="2"/>
    <x v="3"/>
    <x v="1"/>
    <x v="0"/>
    <x v="4"/>
    <x v="13"/>
  </r>
  <r>
    <x v="40"/>
    <x v="154"/>
    <x v="4"/>
    <x v="4"/>
    <x v="0"/>
    <x v="0"/>
    <x v="2"/>
    <x v="7"/>
  </r>
  <r>
    <x v="0"/>
    <x v="154"/>
    <x v="3"/>
    <x v="2"/>
    <x v="1"/>
    <x v="0"/>
    <x v="0"/>
    <x v="0"/>
  </r>
  <r>
    <x v="108"/>
    <x v="154"/>
    <x v="2"/>
    <x v="4"/>
    <x v="1"/>
    <x v="0"/>
    <x v="2"/>
    <x v="7"/>
  </r>
  <r>
    <x v="396"/>
    <x v="154"/>
    <x v="3"/>
    <x v="2"/>
    <x v="0"/>
    <x v="4"/>
    <x v="0"/>
    <x v="5"/>
  </r>
  <r>
    <x v="353"/>
    <x v="154"/>
    <x v="3"/>
    <x v="5"/>
    <x v="0"/>
    <x v="1"/>
    <x v="3"/>
    <x v="14"/>
  </r>
  <r>
    <x v="522"/>
    <x v="155"/>
    <x v="3"/>
    <x v="5"/>
    <x v="0"/>
    <x v="1"/>
    <x v="3"/>
    <x v="14"/>
  </r>
  <r>
    <x v="622"/>
    <x v="155"/>
    <x v="2"/>
    <x v="2"/>
    <x v="1"/>
    <x v="0"/>
    <x v="0"/>
    <x v="0"/>
  </r>
  <r>
    <x v="629"/>
    <x v="155"/>
    <x v="2"/>
    <x v="4"/>
    <x v="0"/>
    <x v="1"/>
    <x v="2"/>
    <x v="12"/>
  </r>
  <r>
    <x v="16"/>
    <x v="155"/>
    <x v="3"/>
    <x v="4"/>
    <x v="0"/>
    <x v="1"/>
    <x v="2"/>
    <x v="12"/>
  </r>
  <r>
    <x v="248"/>
    <x v="155"/>
    <x v="1"/>
    <x v="4"/>
    <x v="0"/>
    <x v="1"/>
    <x v="2"/>
    <x v="12"/>
  </r>
  <r>
    <x v="215"/>
    <x v="155"/>
    <x v="0"/>
    <x v="4"/>
    <x v="0"/>
    <x v="0"/>
    <x v="2"/>
    <x v="7"/>
  </r>
  <r>
    <x v="930"/>
    <x v="156"/>
    <x v="2"/>
    <x v="1"/>
    <x v="0"/>
    <x v="0"/>
    <x v="5"/>
    <x v="15"/>
  </r>
  <r>
    <x v="416"/>
    <x v="156"/>
    <x v="0"/>
    <x v="3"/>
    <x v="1"/>
    <x v="0"/>
    <x v="4"/>
    <x v="13"/>
  </r>
  <r>
    <x v="352"/>
    <x v="156"/>
    <x v="2"/>
    <x v="4"/>
    <x v="0"/>
    <x v="1"/>
    <x v="2"/>
    <x v="12"/>
  </r>
  <r>
    <x v="320"/>
    <x v="156"/>
    <x v="0"/>
    <x v="5"/>
    <x v="1"/>
    <x v="0"/>
    <x v="3"/>
    <x v="10"/>
  </r>
  <r>
    <x v="820"/>
    <x v="156"/>
    <x v="4"/>
    <x v="4"/>
    <x v="1"/>
    <x v="1"/>
    <x v="2"/>
    <x v="12"/>
  </r>
  <r>
    <x v="484"/>
    <x v="156"/>
    <x v="2"/>
    <x v="5"/>
    <x v="0"/>
    <x v="0"/>
    <x v="3"/>
    <x v="10"/>
  </r>
  <r>
    <x v="890"/>
    <x v="156"/>
    <x v="3"/>
    <x v="3"/>
    <x v="1"/>
    <x v="0"/>
    <x v="4"/>
    <x v="13"/>
  </r>
  <r>
    <x v="465"/>
    <x v="156"/>
    <x v="0"/>
    <x v="0"/>
    <x v="0"/>
    <x v="1"/>
    <x v="1"/>
    <x v="6"/>
  </r>
  <r>
    <x v="956"/>
    <x v="157"/>
    <x v="3"/>
    <x v="4"/>
    <x v="0"/>
    <x v="0"/>
    <x v="2"/>
    <x v="7"/>
  </r>
  <r>
    <x v="823"/>
    <x v="157"/>
    <x v="2"/>
    <x v="0"/>
    <x v="0"/>
    <x v="0"/>
    <x v="1"/>
    <x v="2"/>
  </r>
  <r>
    <x v="604"/>
    <x v="157"/>
    <x v="4"/>
    <x v="0"/>
    <x v="0"/>
    <x v="1"/>
    <x v="1"/>
    <x v="6"/>
  </r>
  <r>
    <x v="918"/>
    <x v="157"/>
    <x v="2"/>
    <x v="2"/>
    <x v="1"/>
    <x v="0"/>
    <x v="0"/>
    <x v="0"/>
  </r>
  <r>
    <x v="733"/>
    <x v="158"/>
    <x v="3"/>
    <x v="0"/>
    <x v="0"/>
    <x v="4"/>
    <x v="1"/>
    <x v="11"/>
  </r>
  <r>
    <x v="947"/>
    <x v="158"/>
    <x v="1"/>
    <x v="4"/>
    <x v="0"/>
    <x v="1"/>
    <x v="2"/>
    <x v="12"/>
  </r>
  <r>
    <x v="904"/>
    <x v="158"/>
    <x v="3"/>
    <x v="4"/>
    <x v="0"/>
    <x v="0"/>
    <x v="2"/>
    <x v="7"/>
  </r>
  <r>
    <x v="406"/>
    <x v="158"/>
    <x v="3"/>
    <x v="1"/>
    <x v="1"/>
    <x v="0"/>
    <x v="5"/>
    <x v="15"/>
  </r>
  <r>
    <x v="120"/>
    <x v="158"/>
    <x v="2"/>
    <x v="0"/>
    <x v="0"/>
    <x v="3"/>
    <x v="1"/>
    <x v="9"/>
  </r>
  <r>
    <x v="537"/>
    <x v="158"/>
    <x v="3"/>
    <x v="3"/>
    <x v="0"/>
    <x v="1"/>
    <x v="4"/>
    <x v="16"/>
  </r>
  <r>
    <x v="63"/>
    <x v="158"/>
    <x v="1"/>
    <x v="0"/>
    <x v="0"/>
    <x v="4"/>
    <x v="1"/>
    <x v="11"/>
  </r>
  <r>
    <x v="243"/>
    <x v="159"/>
    <x v="2"/>
    <x v="1"/>
    <x v="1"/>
    <x v="0"/>
    <x v="5"/>
    <x v="15"/>
  </r>
  <r>
    <x v="663"/>
    <x v="159"/>
    <x v="4"/>
    <x v="1"/>
    <x v="0"/>
    <x v="1"/>
    <x v="5"/>
    <x v="17"/>
  </r>
  <r>
    <x v="800"/>
    <x v="159"/>
    <x v="3"/>
    <x v="2"/>
    <x v="0"/>
    <x v="4"/>
    <x v="0"/>
    <x v="5"/>
  </r>
  <r>
    <x v="859"/>
    <x v="159"/>
    <x v="1"/>
    <x v="0"/>
    <x v="1"/>
    <x v="1"/>
    <x v="1"/>
    <x v="6"/>
  </r>
  <r>
    <x v="419"/>
    <x v="159"/>
    <x v="2"/>
    <x v="0"/>
    <x v="0"/>
    <x v="4"/>
    <x v="1"/>
    <x v="11"/>
  </r>
  <r>
    <x v="940"/>
    <x v="159"/>
    <x v="2"/>
    <x v="1"/>
    <x v="1"/>
    <x v="1"/>
    <x v="5"/>
    <x v="17"/>
  </r>
  <r>
    <x v="740"/>
    <x v="159"/>
    <x v="3"/>
    <x v="0"/>
    <x v="0"/>
    <x v="2"/>
    <x v="1"/>
    <x v="8"/>
  </r>
  <r>
    <x v="571"/>
    <x v="159"/>
    <x v="2"/>
    <x v="2"/>
    <x v="1"/>
    <x v="3"/>
    <x v="0"/>
    <x v="4"/>
  </r>
  <r>
    <x v="536"/>
    <x v="160"/>
    <x v="4"/>
    <x v="3"/>
    <x v="1"/>
    <x v="1"/>
    <x v="4"/>
    <x v="16"/>
  </r>
  <r>
    <x v="267"/>
    <x v="160"/>
    <x v="3"/>
    <x v="2"/>
    <x v="0"/>
    <x v="1"/>
    <x v="0"/>
    <x v="1"/>
  </r>
  <r>
    <x v="627"/>
    <x v="160"/>
    <x v="1"/>
    <x v="2"/>
    <x v="1"/>
    <x v="3"/>
    <x v="0"/>
    <x v="4"/>
  </r>
  <r>
    <x v="510"/>
    <x v="160"/>
    <x v="2"/>
    <x v="0"/>
    <x v="0"/>
    <x v="4"/>
    <x v="1"/>
    <x v="11"/>
  </r>
  <r>
    <x v="848"/>
    <x v="160"/>
    <x v="0"/>
    <x v="5"/>
    <x v="0"/>
    <x v="1"/>
    <x v="3"/>
    <x v="14"/>
  </r>
  <r>
    <x v="569"/>
    <x v="160"/>
    <x v="2"/>
    <x v="4"/>
    <x v="0"/>
    <x v="1"/>
    <x v="2"/>
    <x v="12"/>
  </r>
  <r>
    <x v="149"/>
    <x v="160"/>
    <x v="1"/>
    <x v="3"/>
    <x v="0"/>
    <x v="1"/>
    <x v="4"/>
    <x v="16"/>
  </r>
  <r>
    <x v="459"/>
    <x v="160"/>
    <x v="0"/>
    <x v="5"/>
    <x v="1"/>
    <x v="0"/>
    <x v="3"/>
    <x v="10"/>
  </r>
  <r>
    <x v="955"/>
    <x v="160"/>
    <x v="4"/>
    <x v="2"/>
    <x v="0"/>
    <x v="4"/>
    <x v="0"/>
    <x v="5"/>
  </r>
  <r>
    <x v="657"/>
    <x v="161"/>
    <x v="2"/>
    <x v="4"/>
    <x v="0"/>
    <x v="0"/>
    <x v="2"/>
    <x v="7"/>
  </r>
  <r>
    <x v="948"/>
    <x v="161"/>
    <x v="3"/>
    <x v="2"/>
    <x v="0"/>
    <x v="0"/>
    <x v="0"/>
    <x v="0"/>
  </r>
  <r>
    <x v="753"/>
    <x v="161"/>
    <x v="3"/>
    <x v="0"/>
    <x v="1"/>
    <x v="1"/>
    <x v="1"/>
    <x v="6"/>
  </r>
  <r>
    <x v="179"/>
    <x v="161"/>
    <x v="0"/>
    <x v="1"/>
    <x v="1"/>
    <x v="1"/>
    <x v="5"/>
    <x v="17"/>
  </r>
  <r>
    <x v="562"/>
    <x v="162"/>
    <x v="1"/>
    <x v="0"/>
    <x v="0"/>
    <x v="4"/>
    <x v="1"/>
    <x v="11"/>
  </r>
  <r>
    <x v="913"/>
    <x v="162"/>
    <x v="4"/>
    <x v="4"/>
    <x v="0"/>
    <x v="0"/>
    <x v="2"/>
    <x v="7"/>
  </r>
  <r>
    <x v="77"/>
    <x v="162"/>
    <x v="1"/>
    <x v="1"/>
    <x v="1"/>
    <x v="0"/>
    <x v="5"/>
    <x v="15"/>
  </r>
  <r>
    <x v="417"/>
    <x v="162"/>
    <x v="4"/>
    <x v="2"/>
    <x v="1"/>
    <x v="2"/>
    <x v="0"/>
    <x v="3"/>
  </r>
  <r>
    <x v="681"/>
    <x v="162"/>
    <x v="3"/>
    <x v="0"/>
    <x v="0"/>
    <x v="1"/>
    <x v="1"/>
    <x v="6"/>
  </r>
  <r>
    <x v="448"/>
    <x v="162"/>
    <x v="1"/>
    <x v="2"/>
    <x v="1"/>
    <x v="1"/>
    <x v="0"/>
    <x v="1"/>
  </r>
  <r>
    <x v="786"/>
    <x v="163"/>
    <x v="4"/>
    <x v="0"/>
    <x v="0"/>
    <x v="3"/>
    <x v="1"/>
    <x v="9"/>
  </r>
  <r>
    <x v="129"/>
    <x v="163"/>
    <x v="2"/>
    <x v="4"/>
    <x v="0"/>
    <x v="1"/>
    <x v="2"/>
    <x v="12"/>
  </r>
  <r>
    <x v="616"/>
    <x v="163"/>
    <x v="2"/>
    <x v="3"/>
    <x v="1"/>
    <x v="0"/>
    <x v="4"/>
    <x v="13"/>
  </r>
  <r>
    <x v="872"/>
    <x v="163"/>
    <x v="2"/>
    <x v="5"/>
    <x v="1"/>
    <x v="0"/>
    <x v="3"/>
    <x v="10"/>
  </r>
  <r>
    <x v="13"/>
    <x v="163"/>
    <x v="2"/>
    <x v="5"/>
    <x v="1"/>
    <x v="0"/>
    <x v="3"/>
    <x v="10"/>
  </r>
  <r>
    <x v="393"/>
    <x v="163"/>
    <x v="0"/>
    <x v="2"/>
    <x v="0"/>
    <x v="4"/>
    <x v="0"/>
    <x v="5"/>
  </r>
  <r>
    <x v="825"/>
    <x v="164"/>
    <x v="2"/>
    <x v="4"/>
    <x v="1"/>
    <x v="1"/>
    <x v="2"/>
    <x v="12"/>
  </r>
  <r>
    <x v="832"/>
    <x v="164"/>
    <x v="3"/>
    <x v="2"/>
    <x v="0"/>
    <x v="2"/>
    <x v="0"/>
    <x v="3"/>
  </r>
  <r>
    <x v="585"/>
    <x v="164"/>
    <x v="2"/>
    <x v="0"/>
    <x v="0"/>
    <x v="1"/>
    <x v="1"/>
    <x v="6"/>
  </r>
  <r>
    <x v="683"/>
    <x v="164"/>
    <x v="3"/>
    <x v="4"/>
    <x v="0"/>
    <x v="1"/>
    <x v="2"/>
    <x v="12"/>
  </r>
  <r>
    <x v="986"/>
    <x v="165"/>
    <x v="4"/>
    <x v="1"/>
    <x v="1"/>
    <x v="0"/>
    <x v="5"/>
    <x v="15"/>
  </r>
  <r>
    <x v="301"/>
    <x v="165"/>
    <x v="2"/>
    <x v="0"/>
    <x v="1"/>
    <x v="0"/>
    <x v="1"/>
    <x v="2"/>
  </r>
  <r>
    <x v="276"/>
    <x v="165"/>
    <x v="0"/>
    <x v="0"/>
    <x v="0"/>
    <x v="3"/>
    <x v="1"/>
    <x v="9"/>
  </r>
  <r>
    <x v="507"/>
    <x v="165"/>
    <x v="3"/>
    <x v="3"/>
    <x v="0"/>
    <x v="0"/>
    <x v="4"/>
    <x v="13"/>
  </r>
  <r>
    <x v="358"/>
    <x v="166"/>
    <x v="3"/>
    <x v="4"/>
    <x v="0"/>
    <x v="0"/>
    <x v="2"/>
    <x v="7"/>
  </r>
  <r>
    <x v="195"/>
    <x v="166"/>
    <x v="1"/>
    <x v="2"/>
    <x v="0"/>
    <x v="0"/>
    <x v="0"/>
    <x v="0"/>
  </r>
  <r>
    <x v="23"/>
    <x v="166"/>
    <x v="2"/>
    <x v="4"/>
    <x v="1"/>
    <x v="1"/>
    <x v="2"/>
    <x v="12"/>
  </r>
  <r>
    <x v="750"/>
    <x v="166"/>
    <x v="3"/>
    <x v="4"/>
    <x v="1"/>
    <x v="1"/>
    <x v="2"/>
    <x v="12"/>
  </r>
  <r>
    <x v="806"/>
    <x v="166"/>
    <x v="3"/>
    <x v="4"/>
    <x v="1"/>
    <x v="1"/>
    <x v="2"/>
    <x v="12"/>
  </r>
  <r>
    <x v="850"/>
    <x v="166"/>
    <x v="4"/>
    <x v="3"/>
    <x v="1"/>
    <x v="0"/>
    <x v="4"/>
    <x v="13"/>
  </r>
  <r>
    <x v="181"/>
    <x v="166"/>
    <x v="3"/>
    <x v="4"/>
    <x v="0"/>
    <x v="1"/>
    <x v="2"/>
    <x v="12"/>
  </r>
  <r>
    <x v="435"/>
    <x v="166"/>
    <x v="0"/>
    <x v="0"/>
    <x v="1"/>
    <x v="2"/>
    <x v="1"/>
    <x v="8"/>
  </r>
  <r>
    <x v="558"/>
    <x v="167"/>
    <x v="3"/>
    <x v="3"/>
    <x v="1"/>
    <x v="0"/>
    <x v="4"/>
    <x v="13"/>
  </r>
  <r>
    <x v="262"/>
    <x v="167"/>
    <x v="1"/>
    <x v="4"/>
    <x v="0"/>
    <x v="1"/>
    <x v="2"/>
    <x v="12"/>
  </r>
  <r>
    <x v="954"/>
    <x v="167"/>
    <x v="0"/>
    <x v="1"/>
    <x v="0"/>
    <x v="1"/>
    <x v="5"/>
    <x v="17"/>
  </r>
  <r>
    <x v="446"/>
    <x v="167"/>
    <x v="3"/>
    <x v="4"/>
    <x v="0"/>
    <x v="0"/>
    <x v="2"/>
    <x v="7"/>
  </r>
  <r>
    <x v="234"/>
    <x v="167"/>
    <x v="4"/>
    <x v="3"/>
    <x v="1"/>
    <x v="1"/>
    <x v="4"/>
    <x v="16"/>
  </r>
  <r>
    <x v="834"/>
    <x v="167"/>
    <x v="2"/>
    <x v="5"/>
    <x v="0"/>
    <x v="1"/>
    <x v="3"/>
    <x v="14"/>
  </r>
  <r>
    <x v="925"/>
    <x v="168"/>
    <x v="1"/>
    <x v="2"/>
    <x v="0"/>
    <x v="0"/>
    <x v="0"/>
    <x v="0"/>
  </r>
  <r>
    <x v="857"/>
    <x v="168"/>
    <x v="3"/>
    <x v="4"/>
    <x v="0"/>
    <x v="0"/>
    <x v="2"/>
    <x v="7"/>
  </r>
  <r>
    <x v="600"/>
    <x v="168"/>
    <x v="2"/>
    <x v="4"/>
    <x v="1"/>
    <x v="0"/>
    <x v="2"/>
    <x v="7"/>
  </r>
  <r>
    <x v="867"/>
    <x v="168"/>
    <x v="4"/>
    <x v="3"/>
    <x v="0"/>
    <x v="1"/>
    <x v="4"/>
    <x v="16"/>
  </r>
  <r>
    <x v="172"/>
    <x v="168"/>
    <x v="2"/>
    <x v="0"/>
    <x v="1"/>
    <x v="3"/>
    <x v="1"/>
    <x v="9"/>
  </r>
  <r>
    <x v="775"/>
    <x v="168"/>
    <x v="1"/>
    <x v="0"/>
    <x v="0"/>
    <x v="1"/>
    <x v="1"/>
    <x v="6"/>
  </r>
  <r>
    <x v="62"/>
    <x v="169"/>
    <x v="1"/>
    <x v="5"/>
    <x v="1"/>
    <x v="1"/>
    <x v="3"/>
    <x v="14"/>
  </r>
  <r>
    <x v="238"/>
    <x v="169"/>
    <x v="3"/>
    <x v="2"/>
    <x v="1"/>
    <x v="2"/>
    <x v="0"/>
    <x v="3"/>
  </r>
  <r>
    <x v="114"/>
    <x v="169"/>
    <x v="3"/>
    <x v="2"/>
    <x v="1"/>
    <x v="0"/>
    <x v="0"/>
    <x v="0"/>
  </r>
  <r>
    <x v="515"/>
    <x v="169"/>
    <x v="3"/>
    <x v="4"/>
    <x v="1"/>
    <x v="0"/>
    <x v="2"/>
    <x v="7"/>
  </r>
  <r>
    <x v="679"/>
    <x v="169"/>
    <x v="1"/>
    <x v="5"/>
    <x v="1"/>
    <x v="0"/>
    <x v="3"/>
    <x v="10"/>
  </r>
  <r>
    <x v="556"/>
    <x v="169"/>
    <x v="3"/>
    <x v="0"/>
    <x v="1"/>
    <x v="4"/>
    <x v="1"/>
    <x v="11"/>
  </r>
  <r>
    <x v="543"/>
    <x v="169"/>
    <x v="0"/>
    <x v="0"/>
    <x v="1"/>
    <x v="0"/>
    <x v="1"/>
    <x v="2"/>
  </r>
  <r>
    <x v="349"/>
    <x v="169"/>
    <x v="3"/>
    <x v="1"/>
    <x v="1"/>
    <x v="0"/>
    <x v="5"/>
    <x v="15"/>
  </r>
  <r>
    <x v="274"/>
    <x v="170"/>
    <x v="2"/>
    <x v="5"/>
    <x v="0"/>
    <x v="1"/>
    <x v="3"/>
    <x v="14"/>
  </r>
  <r>
    <x v="729"/>
    <x v="170"/>
    <x v="1"/>
    <x v="1"/>
    <x v="1"/>
    <x v="0"/>
    <x v="5"/>
    <x v="15"/>
  </r>
  <r>
    <x v="678"/>
    <x v="170"/>
    <x v="3"/>
    <x v="1"/>
    <x v="1"/>
    <x v="1"/>
    <x v="5"/>
    <x v="17"/>
  </r>
  <r>
    <x v="185"/>
    <x v="170"/>
    <x v="4"/>
    <x v="0"/>
    <x v="0"/>
    <x v="0"/>
    <x v="1"/>
    <x v="2"/>
  </r>
  <r>
    <x v="155"/>
    <x v="171"/>
    <x v="1"/>
    <x v="5"/>
    <x v="0"/>
    <x v="1"/>
    <x v="3"/>
    <x v="14"/>
  </r>
  <r>
    <x v="148"/>
    <x v="171"/>
    <x v="2"/>
    <x v="0"/>
    <x v="0"/>
    <x v="3"/>
    <x v="1"/>
    <x v="9"/>
  </r>
  <r>
    <x v="483"/>
    <x v="171"/>
    <x v="2"/>
    <x v="3"/>
    <x v="0"/>
    <x v="1"/>
    <x v="4"/>
    <x v="16"/>
  </r>
  <r>
    <x v="218"/>
    <x v="171"/>
    <x v="3"/>
    <x v="0"/>
    <x v="0"/>
    <x v="1"/>
    <x v="1"/>
    <x v="6"/>
  </r>
  <r>
    <x v="71"/>
    <x v="171"/>
    <x v="1"/>
    <x v="2"/>
    <x v="0"/>
    <x v="1"/>
    <x v="0"/>
    <x v="1"/>
  </r>
  <r>
    <x v="744"/>
    <x v="171"/>
    <x v="2"/>
    <x v="2"/>
    <x v="0"/>
    <x v="0"/>
    <x v="0"/>
    <x v="0"/>
  </r>
  <r>
    <x v="150"/>
    <x v="172"/>
    <x v="1"/>
    <x v="2"/>
    <x v="1"/>
    <x v="3"/>
    <x v="0"/>
    <x v="4"/>
  </r>
  <r>
    <x v="347"/>
    <x v="172"/>
    <x v="0"/>
    <x v="4"/>
    <x v="1"/>
    <x v="1"/>
    <x v="2"/>
    <x v="12"/>
  </r>
  <r>
    <x v="971"/>
    <x v="172"/>
    <x v="1"/>
    <x v="4"/>
    <x v="0"/>
    <x v="0"/>
    <x v="2"/>
    <x v="7"/>
  </r>
  <r>
    <x v="764"/>
    <x v="172"/>
    <x v="2"/>
    <x v="3"/>
    <x v="0"/>
    <x v="0"/>
    <x v="4"/>
    <x v="13"/>
  </r>
  <r>
    <x v="677"/>
    <x v="172"/>
    <x v="3"/>
    <x v="4"/>
    <x v="1"/>
    <x v="0"/>
    <x v="2"/>
    <x v="7"/>
  </r>
  <r>
    <x v="147"/>
    <x v="172"/>
    <x v="2"/>
    <x v="4"/>
    <x v="1"/>
    <x v="0"/>
    <x v="2"/>
    <x v="7"/>
  </r>
  <r>
    <x v="261"/>
    <x v="172"/>
    <x v="4"/>
    <x v="2"/>
    <x v="0"/>
    <x v="1"/>
    <x v="0"/>
    <x v="1"/>
  </r>
  <r>
    <x v="64"/>
    <x v="172"/>
    <x v="3"/>
    <x v="4"/>
    <x v="0"/>
    <x v="1"/>
    <x v="2"/>
    <x v="12"/>
  </r>
  <r>
    <x v="836"/>
    <x v="172"/>
    <x v="3"/>
    <x v="4"/>
    <x v="1"/>
    <x v="1"/>
    <x v="2"/>
    <x v="12"/>
  </r>
  <r>
    <x v="646"/>
    <x v="172"/>
    <x v="2"/>
    <x v="4"/>
    <x v="0"/>
    <x v="0"/>
    <x v="2"/>
    <x v="7"/>
  </r>
  <r>
    <x v="289"/>
    <x v="173"/>
    <x v="3"/>
    <x v="4"/>
    <x v="0"/>
    <x v="1"/>
    <x v="2"/>
    <x v="12"/>
  </r>
  <r>
    <x v="749"/>
    <x v="173"/>
    <x v="1"/>
    <x v="0"/>
    <x v="0"/>
    <x v="2"/>
    <x v="1"/>
    <x v="8"/>
  </r>
  <r>
    <x v="60"/>
    <x v="173"/>
    <x v="4"/>
    <x v="2"/>
    <x v="1"/>
    <x v="2"/>
    <x v="0"/>
    <x v="3"/>
  </r>
  <r>
    <x v="972"/>
    <x v="173"/>
    <x v="3"/>
    <x v="5"/>
    <x v="0"/>
    <x v="0"/>
    <x v="3"/>
    <x v="10"/>
  </r>
  <r>
    <x v="333"/>
    <x v="173"/>
    <x v="1"/>
    <x v="5"/>
    <x v="1"/>
    <x v="0"/>
    <x v="3"/>
    <x v="10"/>
  </r>
  <r>
    <x v="624"/>
    <x v="173"/>
    <x v="0"/>
    <x v="5"/>
    <x v="1"/>
    <x v="0"/>
    <x v="3"/>
    <x v="10"/>
  </r>
  <r>
    <x v="901"/>
    <x v="173"/>
    <x v="3"/>
    <x v="2"/>
    <x v="0"/>
    <x v="0"/>
    <x v="0"/>
    <x v="0"/>
  </r>
  <r>
    <x v="21"/>
    <x v="174"/>
    <x v="2"/>
    <x v="2"/>
    <x v="0"/>
    <x v="0"/>
    <x v="0"/>
    <x v="0"/>
  </r>
  <r>
    <x v="517"/>
    <x v="175"/>
    <x v="1"/>
    <x v="1"/>
    <x v="0"/>
    <x v="0"/>
    <x v="5"/>
    <x v="15"/>
  </r>
  <r>
    <x v="98"/>
    <x v="175"/>
    <x v="3"/>
    <x v="2"/>
    <x v="0"/>
    <x v="2"/>
    <x v="0"/>
    <x v="3"/>
  </r>
  <r>
    <x v="674"/>
    <x v="175"/>
    <x v="2"/>
    <x v="0"/>
    <x v="1"/>
    <x v="4"/>
    <x v="1"/>
    <x v="11"/>
  </r>
  <r>
    <x v="455"/>
    <x v="175"/>
    <x v="3"/>
    <x v="1"/>
    <x v="1"/>
    <x v="0"/>
    <x v="5"/>
    <x v="15"/>
  </r>
  <r>
    <x v="367"/>
    <x v="176"/>
    <x v="3"/>
    <x v="3"/>
    <x v="1"/>
    <x v="0"/>
    <x v="4"/>
    <x v="13"/>
  </r>
  <r>
    <x v="570"/>
    <x v="176"/>
    <x v="3"/>
    <x v="1"/>
    <x v="0"/>
    <x v="0"/>
    <x v="5"/>
    <x v="15"/>
  </r>
  <r>
    <x v="382"/>
    <x v="176"/>
    <x v="3"/>
    <x v="2"/>
    <x v="0"/>
    <x v="2"/>
    <x v="0"/>
    <x v="3"/>
  </r>
  <r>
    <x v="160"/>
    <x v="176"/>
    <x v="1"/>
    <x v="4"/>
    <x v="0"/>
    <x v="1"/>
    <x v="2"/>
    <x v="12"/>
  </r>
  <r>
    <x v="988"/>
    <x v="177"/>
    <x v="4"/>
    <x v="4"/>
    <x v="0"/>
    <x v="0"/>
    <x v="2"/>
    <x v="7"/>
  </r>
  <r>
    <x v="575"/>
    <x v="177"/>
    <x v="2"/>
    <x v="3"/>
    <x v="1"/>
    <x v="0"/>
    <x v="4"/>
    <x v="13"/>
  </r>
  <r>
    <x v="521"/>
    <x v="177"/>
    <x v="2"/>
    <x v="2"/>
    <x v="0"/>
    <x v="1"/>
    <x v="0"/>
    <x v="1"/>
  </r>
  <r>
    <x v="966"/>
    <x v="177"/>
    <x v="3"/>
    <x v="1"/>
    <x v="1"/>
    <x v="1"/>
    <x v="5"/>
    <x v="17"/>
  </r>
  <r>
    <x v="240"/>
    <x v="177"/>
    <x v="2"/>
    <x v="2"/>
    <x v="1"/>
    <x v="1"/>
    <x v="0"/>
    <x v="1"/>
  </r>
  <r>
    <x v="501"/>
    <x v="178"/>
    <x v="2"/>
    <x v="1"/>
    <x v="1"/>
    <x v="1"/>
    <x v="5"/>
    <x v="17"/>
  </r>
  <r>
    <x v="737"/>
    <x v="178"/>
    <x v="3"/>
    <x v="3"/>
    <x v="0"/>
    <x v="1"/>
    <x v="4"/>
    <x v="16"/>
  </r>
  <r>
    <x v="896"/>
    <x v="178"/>
    <x v="0"/>
    <x v="5"/>
    <x v="0"/>
    <x v="1"/>
    <x v="3"/>
    <x v="14"/>
  </r>
  <r>
    <x v="242"/>
    <x v="178"/>
    <x v="1"/>
    <x v="0"/>
    <x v="0"/>
    <x v="4"/>
    <x v="1"/>
    <x v="11"/>
  </r>
  <r>
    <x v="485"/>
    <x v="178"/>
    <x v="3"/>
    <x v="0"/>
    <x v="1"/>
    <x v="3"/>
    <x v="1"/>
    <x v="9"/>
  </r>
  <r>
    <x v="50"/>
    <x v="178"/>
    <x v="2"/>
    <x v="2"/>
    <x v="1"/>
    <x v="0"/>
    <x v="0"/>
    <x v="0"/>
  </r>
  <r>
    <x v="914"/>
    <x v="178"/>
    <x v="0"/>
    <x v="0"/>
    <x v="0"/>
    <x v="3"/>
    <x v="1"/>
    <x v="9"/>
  </r>
  <r>
    <x v="131"/>
    <x v="178"/>
    <x v="0"/>
    <x v="4"/>
    <x v="0"/>
    <x v="0"/>
    <x v="2"/>
    <x v="7"/>
  </r>
  <r>
    <x v="196"/>
    <x v="178"/>
    <x v="2"/>
    <x v="0"/>
    <x v="0"/>
    <x v="1"/>
    <x v="1"/>
    <x v="6"/>
  </r>
  <r>
    <x v="398"/>
    <x v="179"/>
    <x v="3"/>
    <x v="0"/>
    <x v="0"/>
    <x v="3"/>
    <x v="1"/>
    <x v="9"/>
  </r>
  <r>
    <x v="545"/>
    <x v="179"/>
    <x v="3"/>
    <x v="4"/>
    <x v="1"/>
    <x v="0"/>
    <x v="2"/>
    <x v="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venueByBranchChannel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5:D12" firstHeaderRow="1" firstDataRow="2" firstDataCol="1"/>
  <pivotFields count="8">
    <pivotField compact="0" showAll="0"/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axis="axisCol" compact="0" showAll="0" defaultSubtotal="0">
      <items count="2">
        <item x="0"/>
        <item x="1"/>
      </items>
    </pivotField>
    <pivotField compact="0" showAll="0"/>
    <pivotField compact="0" showAll="0"/>
    <pivotField dataField="1" compact="0" showAll="0"/>
  </pivotFields>
  <rowFields count="1">
    <field x="2"/>
  </rowFields>
  <colFields count="1">
    <field x="4"/>
  </colFields>
  <dataFields count="1">
    <dataField name="Sum - revenue" fld="7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customFormat="false" ht="15" hidden="false" customHeight="false" outlineLevel="0" collapsed="false">
      <c r="A2" s="3" t="s">
        <v>6</v>
      </c>
      <c r="B2" s="4" t="n">
        <f aca="false">SUMIFS(Data!$H$2:$H$1001,Data!$C$2:$C$1001,A2)</f>
        <v>12133000</v>
      </c>
      <c r="C2" s="3" t="n">
        <f aca="false">COUNTIFS(Data!$C$2:$C$1001,A2)</f>
        <v>349</v>
      </c>
      <c r="D2" s="3" t="n">
        <f aca="false">RANK(B2,$B$2:$B$6)</f>
        <v>1</v>
      </c>
      <c r="E2" s="3" t="str">
        <f aca="false">_xlfn.XLOOKUP(A2,Regions!$A$2:$A$6,Regions!$B$2:$B$6)</f>
        <v>Capital</v>
      </c>
      <c r="G2" s="3" t="s">
        <v>7</v>
      </c>
    </row>
    <row r="3" customFormat="false" ht="15" hidden="false" customHeight="false" outlineLevel="0" collapsed="false">
      <c r="A3" s="3" t="s">
        <v>8</v>
      </c>
      <c r="B3" s="4" t="n">
        <f aca="false">SUMIFS(Data!$H$2:$H$1001,Data!$C$2:$C$1001,A3)</f>
        <v>8444500</v>
      </c>
      <c r="C3" s="3" t="n">
        <f aca="false">COUNTIFS(Data!$C$2:$C$1001,A3)</f>
        <v>263</v>
      </c>
      <c r="D3" s="3" t="n">
        <f aca="false">RANK(B3,$B$2:$B$6)</f>
        <v>2</v>
      </c>
      <c r="E3" s="3" t="str">
        <f aca="false">_xlfn.XLOOKUP(A3,Regions!$A$2:$A$6,Regions!$B$2:$B$6)</f>
        <v>Coast</v>
      </c>
      <c r="G3" s="3" t="s">
        <v>9</v>
      </c>
    </row>
    <row r="4" customFormat="false" ht="15" hidden="false" customHeight="false" outlineLevel="0" collapsed="false">
      <c r="A4" s="3" t="s">
        <v>10</v>
      </c>
      <c r="B4" s="4" t="n">
        <f aca="false">SUMIFS(Data!$H$2:$H$1001,Data!$C$2:$C$1001,A4)</f>
        <v>4392000</v>
      </c>
      <c r="C4" s="3" t="n">
        <f aca="false">COUNTIFS(Data!$C$2:$C$1001,A4)</f>
        <v>128</v>
      </c>
      <c r="D4" s="3" t="n">
        <f aca="false">RANK(B4,$B$2:$B$6)</f>
        <v>3</v>
      </c>
      <c r="E4" s="3" t="str">
        <f aca="false">_xlfn.XLOOKUP(A4,Regions!$A$2:$A$6,Regions!$B$2:$B$6)</f>
        <v>Rift Valley</v>
      </c>
    </row>
    <row r="5" customFormat="false" ht="15" hidden="false" customHeight="false" outlineLevel="0" collapsed="false">
      <c r="A5" s="3" t="s">
        <v>11</v>
      </c>
      <c r="B5" s="4" t="n">
        <f aca="false">SUMIFS(Data!$H$2:$H$1001,Data!$C$2:$C$1001,A5)</f>
        <v>3860000</v>
      </c>
      <c r="C5" s="3" t="n">
        <f aca="false">COUNTIFS(Data!$C$2:$C$1001,A5)</f>
        <v>115</v>
      </c>
      <c r="D5" s="3" t="n">
        <f aca="false">RANK(B5,$B$2:$B$6)</f>
        <v>4</v>
      </c>
      <c r="E5" s="3" t="str">
        <f aca="false">_xlfn.XLOOKUP(A5,Regions!$A$2:$A$6,Regions!$B$2:$B$6)</f>
        <v>Rift Valley</v>
      </c>
    </row>
    <row r="6" customFormat="false" ht="15" hidden="false" customHeight="false" outlineLevel="0" collapsed="false">
      <c r="A6" s="3" t="s">
        <v>12</v>
      </c>
      <c r="B6" s="4" t="n">
        <f aca="false">SUMIFS(Data!$H$2:$H$1001,Data!$C$2:$C$1001,A6)</f>
        <v>3805500</v>
      </c>
      <c r="C6" s="3" t="n">
        <f aca="false">COUNTIFS(Data!$C$2:$C$1001,A6)</f>
        <v>145</v>
      </c>
      <c r="D6" s="3" t="n">
        <f aca="false">RANK(B6,$B$2:$B$6)</f>
        <v>5</v>
      </c>
      <c r="E6" s="3" t="str">
        <f aca="false">_xlfn.XLOOKUP(A6,Regions!$A$2:$A$6,Regions!$B$2:$B$6)</f>
        <v>Western</v>
      </c>
    </row>
    <row r="7" customFormat="false" ht="15" hidden="false" customHeight="false" outlineLevel="0" collapsed="false">
      <c r="A7" s="5" t="s">
        <v>13</v>
      </c>
      <c r="B7" s="6" t="n">
        <f aca="false">SUM(B2:B6)</f>
        <v>32635000</v>
      </c>
      <c r="C7" s="5" t="n">
        <f aca="false">SUM(C2:C6)</f>
        <v>1000</v>
      </c>
      <c r="D7" s="5"/>
      <c r="E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14</v>
      </c>
      <c r="B1" s="1" t="s">
        <v>15</v>
      </c>
      <c r="C1" s="1" t="s">
        <v>0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customFormat="false" ht="15" hidden="false" customHeight="false" outlineLevel="0" collapsed="false">
      <c r="A2" s="3" t="s">
        <v>21</v>
      </c>
      <c r="B2" s="3" t="s">
        <v>22</v>
      </c>
      <c r="C2" s="3" t="s">
        <v>8</v>
      </c>
      <c r="D2" s="3" t="s">
        <v>23</v>
      </c>
      <c r="E2" s="3" t="s">
        <v>24</v>
      </c>
      <c r="F2" s="3" t="n">
        <v>4</v>
      </c>
      <c r="G2" s="4" t="n">
        <v>6500</v>
      </c>
      <c r="H2" s="4" t="n">
        <f aca="false">F2*G2</f>
        <v>26000</v>
      </c>
    </row>
    <row r="3" customFormat="false" ht="15" hidden="false" customHeight="false" outlineLevel="0" collapsed="false">
      <c r="A3" s="3" t="s">
        <v>25</v>
      </c>
      <c r="B3" s="3" t="s">
        <v>22</v>
      </c>
      <c r="C3" s="3" t="s">
        <v>11</v>
      </c>
      <c r="D3" s="3" t="s">
        <v>26</v>
      </c>
      <c r="E3" s="3" t="s">
        <v>27</v>
      </c>
      <c r="F3" s="3" t="n">
        <v>3</v>
      </c>
      <c r="G3" s="4" t="n">
        <v>2500</v>
      </c>
      <c r="H3" s="4" t="n">
        <f aca="false">F3*G3</f>
        <v>7500</v>
      </c>
    </row>
    <row r="4" customFormat="false" ht="15" hidden="false" customHeight="false" outlineLevel="0" collapsed="false">
      <c r="A4" s="3" t="s">
        <v>28</v>
      </c>
      <c r="B4" s="3" t="s">
        <v>22</v>
      </c>
      <c r="C4" s="3" t="s">
        <v>6</v>
      </c>
      <c r="D4" s="3" t="s">
        <v>29</v>
      </c>
      <c r="E4" s="3" t="s">
        <v>24</v>
      </c>
      <c r="F4" s="3" t="n">
        <v>2</v>
      </c>
      <c r="G4" s="4" t="n">
        <v>45000</v>
      </c>
      <c r="H4" s="4" t="n">
        <f aca="false">F4*G4</f>
        <v>90000</v>
      </c>
    </row>
    <row r="5" customFormat="false" ht="15" hidden="false" customHeight="false" outlineLevel="0" collapsed="false">
      <c r="A5" s="3" t="s">
        <v>30</v>
      </c>
      <c r="B5" s="3" t="s">
        <v>22</v>
      </c>
      <c r="C5" s="3" t="s">
        <v>8</v>
      </c>
      <c r="D5" s="3" t="s">
        <v>31</v>
      </c>
      <c r="E5" s="3" t="s">
        <v>24</v>
      </c>
      <c r="F5" s="3" t="n">
        <v>1</v>
      </c>
      <c r="G5" s="4" t="n">
        <v>62000</v>
      </c>
      <c r="H5" s="4" t="n">
        <f aca="false">F5*G5</f>
        <v>62000</v>
      </c>
    </row>
    <row r="6" customFormat="false" ht="15" hidden="false" customHeight="false" outlineLevel="0" collapsed="false">
      <c r="A6" s="3" t="s">
        <v>32</v>
      </c>
      <c r="B6" s="3" t="s">
        <v>33</v>
      </c>
      <c r="C6" s="3" t="s">
        <v>10</v>
      </c>
      <c r="D6" s="3" t="s">
        <v>34</v>
      </c>
      <c r="E6" s="3" t="s">
        <v>24</v>
      </c>
      <c r="F6" s="3" t="n">
        <v>1</v>
      </c>
      <c r="G6" s="4" t="n">
        <v>18500</v>
      </c>
      <c r="H6" s="4" t="n">
        <f aca="false">F6*G6</f>
        <v>18500</v>
      </c>
    </row>
    <row r="7" customFormat="false" ht="15" hidden="false" customHeight="false" outlineLevel="0" collapsed="false">
      <c r="A7" s="3" t="s">
        <v>35</v>
      </c>
      <c r="B7" s="3" t="s">
        <v>33</v>
      </c>
      <c r="C7" s="3" t="s">
        <v>8</v>
      </c>
      <c r="D7" s="3" t="s">
        <v>23</v>
      </c>
      <c r="E7" s="3" t="s">
        <v>27</v>
      </c>
      <c r="F7" s="3" t="n">
        <v>5</v>
      </c>
      <c r="G7" s="4" t="n">
        <v>6500</v>
      </c>
      <c r="H7" s="4" t="n">
        <f aca="false">F7*G7</f>
        <v>32500</v>
      </c>
    </row>
    <row r="8" customFormat="false" ht="15" hidden="false" customHeight="false" outlineLevel="0" collapsed="false">
      <c r="A8" s="3" t="s">
        <v>36</v>
      </c>
      <c r="B8" s="3" t="s">
        <v>33</v>
      </c>
      <c r="C8" s="3" t="s">
        <v>10</v>
      </c>
      <c r="D8" s="3" t="s">
        <v>26</v>
      </c>
      <c r="E8" s="3" t="s">
        <v>24</v>
      </c>
      <c r="F8" s="3" t="n">
        <v>2</v>
      </c>
      <c r="G8" s="4" t="n">
        <v>2500</v>
      </c>
      <c r="H8" s="4" t="n">
        <f aca="false">F8*G8</f>
        <v>5000</v>
      </c>
    </row>
    <row r="9" customFormat="false" ht="15" hidden="false" customHeight="false" outlineLevel="0" collapsed="false">
      <c r="A9" s="3" t="s">
        <v>37</v>
      </c>
      <c r="B9" s="3" t="s">
        <v>33</v>
      </c>
      <c r="C9" s="3" t="s">
        <v>11</v>
      </c>
      <c r="D9" s="3" t="s">
        <v>34</v>
      </c>
      <c r="E9" s="3" t="s">
        <v>27</v>
      </c>
      <c r="F9" s="3" t="n">
        <v>2</v>
      </c>
      <c r="G9" s="4" t="n">
        <v>18500</v>
      </c>
      <c r="H9" s="4" t="n">
        <f aca="false">F9*G9</f>
        <v>37000</v>
      </c>
    </row>
    <row r="10" customFormat="false" ht="15" hidden="false" customHeight="false" outlineLevel="0" collapsed="false">
      <c r="A10" s="3" t="s">
        <v>38</v>
      </c>
      <c r="B10" s="3" t="s">
        <v>33</v>
      </c>
      <c r="C10" s="3" t="s">
        <v>6</v>
      </c>
      <c r="D10" s="3" t="s">
        <v>34</v>
      </c>
      <c r="E10" s="3" t="s">
        <v>27</v>
      </c>
      <c r="F10" s="3" t="n">
        <v>1</v>
      </c>
      <c r="G10" s="4" t="n">
        <v>18500</v>
      </c>
      <c r="H10" s="4" t="n">
        <f aca="false">F10*G10</f>
        <v>18500</v>
      </c>
    </row>
    <row r="11" customFormat="false" ht="15" hidden="false" customHeight="false" outlineLevel="0" collapsed="false">
      <c r="A11" s="3" t="s">
        <v>39</v>
      </c>
      <c r="B11" s="3" t="s">
        <v>33</v>
      </c>
      <c r="C11" s="3" t="s">
        <v>12</v>
      </c>
      <c r="D11" s="3" t="s">
        <v>40</v>
      </c>
      <c r="E11" s="3" t="s">
        <v>24</v>
      </c>
      <c r="F11" s="3" t="n">
        <v>1</v>
      </c>
      <c r="G11" s="4" t="n">
        <v>28000</v>
      </c>
      <c r="H11" s="4" t="n">
        <f aca="false">F11*G11</f>
        <v>28000</v>
      </c>
    </row>
    <row r="12" customFormat="false" ht="15" hidden="false" customHeight="false" outlineLevel="0" collapsed="false">
      <c r="A12" s="3" t="s">
        <v>41</v>
      </c>
      <c r="B12" s="3" t="s">
        <v>33</v>
      </c>
      <c r="C12" s="3" t="s">
        <v>8</v>
      </c>
      <c r="D12" s="3" t="s">
        <v>31</v>
      </c>
      <c r="E12" s="3" t="s">
        <v>24</v>
      </c>
      <c r="F12" s="3" t="n">
        <v>2</v>
      </c>
      <c r="G12" s="4" t="n">
        <v>62000</v>
      </c>
      <c r="H12" s="4" t="n">
        <f aca="false">F12*G12</f>
        <v>124000</v>
      </c>
    </row>
    <row r="13" customFormat="false" ht="15" hidden="false" customHeight="false" outlineLevel="0" collapsed="false">
      <c r="A13" s="3" t="s">
        <v>42</v>
      </c>
      <c r="B13" s="3" t="s">
        <v>33</v>
      </c>
      <c r="C13" s="3" t="s">
        <v>11</v>
      </c>
      <c r="D13" s="3" t="s">
        <v>26</v>
      </c>
      <c r="E13" s="3" t="s">
        <v>24</v>
      </c>
      <c r="F13" s="3" t="n">
        <v>1</v>
      </c>
      <c r="G13" s="4" t="n">
        <v>2500</v>
      </c>
      <c r="H13" s="4" t="n">
        <f aca="false">F13*G13</f>
        <v>2500</v>
      </c>
    </row>
    <row r="14" customFormat="false" ht="15" hidden="false" customHeight="false" outlineLevel="0" collapsed="false">
      <c r="A14" s="3" t="s">
        <v>43</v>
      </c>
      <c r="B14" s="3" t="s">
        <v>44</v>
      </c>
      <c r="C14" s="3" t="s">
        <v>6</v>
      </c>
      <c r="D14" s="3" t="s">
        <v>40</v>
      </c>
      <c r="E14" s="3" t="s">
        <v>24</v>
      </c>
      <c r="F14" s="3" t="n">
        <v>2</v>
      </c>
      <c r="G14" s="4" t="n">
        <v>28000</v>
      </c>
      <c r="H14" s="4" t="n">
        <f aca="false">F14*G14</f>
        <v>56000</v>
      </c>
    </row>
    <row r="15" customFormat="false" ht="15" hidden="false" customHeight="false" outlineLevel="0" collapsed="false">
      <c r="A15" s="3" t="s">
        <v>45</v>
      </c>
      <c r="B15" s="3" t="s">
        <v>44</v>
      </c>
      <c r="C15" s="3" t="s">
        <v>8</v>
      </c>
      <c r="D15" s="3" t="s">
        <v>34</v>
      </c>
      <c r="E15" s="3" t="s">
        <v>27</v>
      </c>
      <c r="F15" s="3" t="n">
        <v>1</v>
      </c>
      <c r="G15" s="4" t="n">
        <v>18500</v>
      </c>
      <c r="H15" s="4" t="n">
        <f aca="false">F15*G15</f>
        <v>18500</v>
      </c>
    </row>
    <row r="16" customFormat="false" ht="15" hidden="false" customHeight="false" outlineLevel="0" collapsed="false">
      <c r="A16" s="3" t="s">
        <v>46</v>
      </c>
      <c r="B16" s="3" t="s">
        <v>44</v>
      </c>
      <c r="C16" s="3" t="s">
        <v>12</v>
      </c>
      <c r="D16" s="3" t="s">
        <v>26</v>
      </c>
      <c r="E16" s="3" t="s">
        <v>27</v>
      </c>
      <c r="F16" s="3" t="n">
        <v>1</v>
      </c>
      <c r="G16" s="4" t="n">
        <v>2500</v>
      </c>
      <c r="H16" s="4" t="n">
        <f aca="false">F16*G16</f>
        <v>2500</v>
      </c>
    </row>
    <row r="17" customFormat="false" ht="15" hidden="false" customHeight="false" outlineLevel="0" collapsed="false">
      <c r="A17" s="3" t="s">
        <v>47</v>
      </c>
      <c r="B17" s="3" t="s">
        <v>44</v>
      </c>
      <c r="C17" s="3" t="s">
        <v>8</v>
      </c>
      <c r="D17" s="3" t="s">
        <v>34</v>
      </c>
      <c r="E17" s="3" t="s">
        <v>24</v>
      </c>
      <c r="F17" s="3" t="n">
        <v>2</v>
      </c>
      <c r="G17" s="4" t="n">
        <v>18500</v>
      </c>
      <c r="H17" s="4" t="n">
        <f aca="false">F17*G17</f>
        <v>37000</v>
      </c>
    </row>
    <row r="18" customFormat="false" ht="15" hidden="false" customHeight="false" outlineLevel="0" collapsed="false">
      <c r="A18" s="3" t="s">
        <v>48</v>
      </c>
      <c r="B18" s="3" t="s">
        <v>44</v>
      </c>
      <c r="C18" s="3" t="s">
        <v>6</v>
      </c>
      <c r="D18" s="3" t="s">
        <v>29</v>
      </c>
      <c r="E18" s="3" t="s">
        <v>24</v>
      </c>
      <c r="F18" s="3" t="n">
        <v>1</v>
      </c>
      <c r="G18" s="4" t="n">
        <v>45000</v>
      </c>
      <c r="H18" s="4" t="n">
        <f aca="false">F18*G18</f>
        <v>45000</v>
      </c>
    </row>
    <row r="19" customFormat="false" ht="15" hidden="false" customHeight="false" outlineLevel="0" collapsed="false">
      <c r="A19" s="3" t="s">
        <v>49</v>
      </c>
      <c r="B19" s="3" t="s">
        <v>50</v>
      </c>
      <c r="C19" s="3" t="s">
        <v>6</v>
      </c>
      <c r="D19" s="3" t="s">
        <v>29</v>
      </c>
      <c r="E19" s="3" t="s">
        <v>24</v>
      </c>
      <c r="F19" s="3" t="n">
        <v>2</v>
      </c>
      <c r="G19" s="4" t="n">
        <v>45000</v>
      </c>
      <c r="H19" s="4" t="n">
        <f aca="false">F19*G19</f>
        <v>90000</v>
      </c>
    </row>
    <row r="20" customFormat="false" ht="15" hidden="false" customHeight="false" outlineLevel="0" collapsed="false">
      <c r="A20" s="3" t="s">
        <v>51</v>
      </c>
      <c r="B20" s="3" t="s">
        <v>50</v>
      </c>
      <c r="C20" s="3" t="s">
        <v>6</v>
      </c>
      <c r="D20" s="3" t="s">
        <v>34</v>
      </c>
      <c r="E20" s="3" t="s">
        <v>27</v>
      </c>
      <c r="F20" s="3" t="n">
        <v>1</v>
      </c>
      <c r="G20" s="4" t="n">
        <v>18500</v>
      </c>
      <c r="H20" s="4" t="n">
        <f aca="false">F20*G20</f>
        <v>18500</v>
      </c>
    </row>
    <row r="21" customFormat="false" ht="15" hidden="false" customHeight="false" outlineLevel="0" collapsed="false">
      <c r="A21" s="3" t="s">
        <v>52</v>
      </c>
      <c r="B21" s="3" t="s">
        <v>53</v>
      </c>
      <c r="C21" s="3" t="s">
        <v>6</v>
      </c>
      <c r="D21" s="3" t="s">
        <v>23</v>
      </c>
      <c r="E21" s="3" t="s">
        <v>24</v>
      </c>
      <c r="F21" s="3" t="n">
        <v>1</v>
      </c>
      <c r="G21" s="4" t="n">
        <v>6500</v>
      </c>
      <c r="H21" s="4" t="n">
        <f aca="false">F21*G21</f>
        <v>6500</v>
      </c>
    </row>
    <row r="22" customFormat="false" ht="15" hidden="false" customHeight="false" outlineLevel="0" collapsed="false">
      <c r="A22" s="3" t="s">
        <v>54</v>
      </c>
      <c r="B22" s="3" t="s">
        <v>53</v>
      </c>
      <c r="C22" s="3" t="s">
        <v>12</v>
      </c>
      <c r="D22" s="3" t="s">
        <v>26</v>
      </c>
      <c r="E22" s="3" t="s">
        <v>24</v>
      </c>
      <c r="F22" s="3" t="n">
        <v>2</v>
      </c>
      <c r="G22" s="4" t="n">
        <v>2500</v>
      </c>
      <c r="H22" s="4" t="n">
        <f aca="false">F22*G22</f>
        <v>5000</v>
      </c>
    </row>
    <row r="23" customFormat="false" ht="15" hidden="false" customHeight="false" outlineLevel="0" collapsed="false">
      <c r="A23" s="3" t="s">
        <v>55</v>
      </c>
      <c r="B23" s="3" t="s">
        <v>53</v>
      </c>
      <c r="C23" s="3" t="s">
        <v>10</v>
      </c>
      <c r="D23" s="3" t="s">
        <v>31</v>
      </c>
      <c r="E23" s="3" t="s">
        <v>27</v>
      </c>
      <c r="F23" s="3" t="n">
        <v>2</v>
      </c>
      <c r="G23" s="4" t="n">
        <v>62000</v>
      </c>
      <c r="H23" s="4" t="n">
        <f aca="false">F23*G23</f>
        <v>124000</v>
      </c>
    </row>
    <row r="24" customFormat="false" ht="15" hidden="false" customHeight="false" outlineLevel="0" collapsed="false">
      <c r="A24" s="3" t="s">
        <v>56</v>
      </c>
      <c r="B24" s="3" t="s">
        <v>53</v>
      </c>
      <c r="C24" s="3" t="s">
        <v>6</v>
      </c>
      <c r="D24" s="3" t="s">
        <v>31</v>
      </c>
      <c r="E24" s="3" t="s">
        <v>27</v>
      </c>
      <c r="F24" s="3" t="n">
        <v>2</v>
      </c>
      <c r="G24" s="4" t="n">
        <v>62000</v>
      </c>
      <c r="H24" s="4" t="n">
        <f aca="false">F24*G24</f>
        <v>124000</v>
      </c>
    </row>
    <row r="25" customFormat="false" ht="15" hidden="false" customHeight="false" outlineLevel="0" collapsed="false">
      <c r="A25" s="3" t="s">
        <v>57</v>
      </c>
      <c r="B25" s="3" t="s">
        <v>53</v>
      </c>
      <c r="C25" s="3" t="s">
        <v>8</v>
      </c>
      <c r="D25" s="3" t="s">
        <v>26</v>
      </c>
      <c r="E25" s="3" t="s">
        <v>27</v>
      </c>
      <c r="F25" s="3" t="n">
        <v>5</v>
      </c>
      <c r="G25" s="4" t="n">
        <v>2500</v>
      </c>
      <c r="H25" s="4" t="n">
        <f aca="false">F25*G25</f>
        <v>12500</v>
      </c>
    </row>
    <row r="26" customFormat="false" ht="15" hidden="false" customHeight="false" outlineLevel="0" collapsed="false">
      <c r="A26" s="3" t="s">
        <v>58</v>
      </c>
      <c r="B26" s="3" t="s">
        <v>53</v>
      </c>
      <c r="C26" s="3" t="s">
        <v>8</v>
      </c>
      <c r="D26" s="3" t="s">
        <v>34</v>
      </c>
      <c r="E26" s="3" t="s">
        <v>24</v>
      </c>
      <c r="F26" s="3" t="n">
        <v>1</v>
      </c>
      <c r="G26" s="4" t="n">
        <v>18500</v>
      </c>
      <c r="H26" s="4" t="n">
        <f aca="false">F26*G26</f>
        <v>18500</v>
      </c>
    </row>
    <row r="27" customFormat="false" ht="15" hidden="false" customHeight="false" outlineLevel="0" collapsed="false">
      <c r="A27" s="3" t="s">
        <v>59</v>
      </c>
      <c r="B27" s="3" t="s">
        <v>53</v>
      </c>
      <c r="C27" s="3" t="s">
        <v>6</v>
      </c>
      <c r="D27" s="3" t="s">
        <v>26</v>
      </c>
      <c r="E27" s="3" t="s">
        <v>27</v>
      </c>
      <c r="F27" s="3" t="n">
        <v>4</v>
      </c>
      <c r="G27" s="4" t="n">
        <v>2500</v>
      </c>
      <c r="H27" s="4" t="n">
        <f aca="false">F27*G27</f>
        <v>10000</v>
      </c>
    </row>
    <row r="28" customFormat="false" ht="15" hidden="false" customHeight="false" outlineLevel="0" collapsed="false">
      <c r="A28" s="3" t="s">
        <v>60</v>
      </c>
      <c r="B28" s="3" t="s">
        <v>53</v>
      </c>
      <c r="C28" s="3" t="s">
        <v>6</v>
      </c>
      <c r="D28" s="3" t="s">
        <v>26</v>
      </c>
      <c r="E28" s="3" t="s">
        <v>24</v>
      </c>
      <c r="F28" s="3" t="n">
        <v>4</v>
      </c>
      <c r="G28" s="4" t="n">
        <v>2500</v>
      </c>
      <c r="H28" s="4" t="n">
        <f aca="false">F28*G28</f>
        <v>10000</v>
      </c>
    </row>
    <row r="29" customFormat="false" ht="15" hidden="false" customHeight="false" outlineLevel="0" collapsed="false">
      <c r="A29" s="3" t="s">
        <v>61</v>
      </c>
      <c r="B29" s="3" t="s">
        <v>53</v>
      </c>
      <c r="C29" s="3" t="s">
        <v>8</v>
      </c>
      <c r="D29" s="3" t="s">
        <v>34</v>
      </c>
      <c r="E29" s="3" t="s">
        <v>24</v>
      </c>
      <c r="F29" s="3" t="n">
        <v>2</v>
      </c>
      <c r="G29" s="4" t="n">
        <v>18500</v>
      </c>
      <c r="H29" s="4" t="n">
        <f aca="false">F29*G29</f>
        <v>37000</v>
      </c>
    </row>
    <row r="30" customFormat="false" ht="15" hidden="false" customHeight="false" outlineLevel="0" collapsed="false">
      <c r="A30" s="3" t="s">
        <v>62</v>
      </c>
      <c r="B30" s="3" t="s">
        <v>63</v>
      </c>
      <c r="C30" s="3" t="s">
        <v>12</v>
      </c>
      <c r="D30" s="3" t="s">
        <v>26</v>
      </c>
      <c r="E30" s="3" t="s">
        <v>24</v>
      </c>
      <c r="F30" s="3" t="n">
        <v>3</v>
      </c>
      <c r="G30" s="4" t="n">
        <v>2500</v>
      </c>
      <c r="H30" s="4" t="n">
        <f aca="false">F30*G30</f>
        <v>7500</v>
      </c>
    </row>
    <row r="31" customFormat="false" ht="15" hidden="false" customHeight="false" outlineLevel="0" collapsed="false">
      <c r="A31" s="3" t="s">
        <v>64</v>
      </c>
      <c r="B31" s="3" t="s">
        <v>63</v>
      </c>
      <c r="C31" s="3" t="s">
        <v>6</v>
      </c>
      <c r="D31" s="3" t="s">
        <v>23</v>
      </c>
      <c r="E31" s="3" t="s">
        <v>24</v>
      </c>
      <c r="F31" s="3" t="n">
        <v>5</v>
      </c>
      <c r="G31" s="4" t="n">
        <v>6500</v>
      </c>
      <c r="H31" s="4" t="n">
        <f aca="false">F31*G31</f>
        <v>32500</v>
      </c>
    </row>
    <row r="32" customFormat="false" ht="15" hidden="false" customHeight="false" outlineLevel="0" collapsed="false">
      <c r="A32" s="3" t="s">
        <v>65</v>
      </c>
      <c r="B32" s="3" t="s">
        <v>63</v>
      </c>
      <c r="C32" s="3" t="s">
        <v>6</v>
      </c>
      <c r="D32" s="3" t="s">
        <v>23</v>
      </c>
      <c r="E32" s="3" t="s">
        <v>24</v>
      </c>
      <c r="F32" s="3" t="n">
        <v>4</v>
      </c>
      <c r="G32" s="4" t="n">
        <v>6500</v>
      </c>
      <c r="H32" s="4" t="n">
        <f aca="false">F32*G32</f>
        <v>26000</v>
      </c>
    </row>
    <row r="33" customFormat="false" ht="15" hidden="false" customHeight="false" outlineLevel="0" collapsed="false">
      <c r="A33" s="3" t="s">
        <v>66</v>
      </c>
      <c r="B33" s="3" t="s">
        <v>63</v>
      </c>
      <c r="C33" s="3" t="s">
        <v>12</v>
      </c>
      <c r="D33" s="3" t="s">
        <v>23</v>
      </c>
      <c r="E33" s="3" t="s">
        <v>24</v>
      </c>
      <c r="F33" s="3" t="n">
        <v>3</v>
      </c>
      <c r="G33" s="4" t="n">
        <v>6500</v>
      </c>
      <c r="H33" s="4" t="n">
        <f aca="false">F33*G33</f>
        <v>19500</v>
      </c>
    </row>
    <row r="34" customFormat="false" ht="15" hidden="false" customHeight="false" outlineLevel="0" collapsed="false">
      <c r="A34" s="3" t="s">
        <v>67</v>
      </c>
      <c r="B34" s="3" t="s">
        <v>63</v>
      </c>
      <c r="C34" s="3" t="s">
        <v>6</v>
      </c>
      <c r="D34" s="3" t="s">
        <v>31</v>
      </c>
      <c r="E34" s="3" t="s">
        <v>27</v>
      </c>
      <c r="F34" s="3" t="n">
        <v>1</v>
      </c>
      <c r="G34" s="4" t="n">
        <v>62000</v>
      </c>
      <c r="H34" s="4" t="n">
        <f aca="false">F34*G34</f>
        <v>62000</v>
      </c>
    </row>
    <row r="35" customFormat="false" ht="15" hidden="false" customHeight="false" outlineLevel="0" collapsed="false">
      <c r="A35" s="3" t="s">
        <v>68</v>
      </c>
      <c r="B35" s="3" t="s">
        <v>63</v>
      </c>
      <c r="C35" s="3" t="s">
        <v>12</v>
      </c>
      <c r="D35" s="3" t="s">
        <v>26</v>
      </c>
      <c r="E35" s="3" t="s">
        <v>24</v>
      </c>
      <c r="F35" s="3" t="n">
        <v>5</v>
      </c>
      <c r="G35" s="4" t="n">
        <v>2500</v>
      </c>
      <c r="H35" s="4" t="n">
        <f aca="false">F35*G35</f>
        <v>12500</v>
      </c>
    </row>
    <row r="36" customFormat="false" ht="15" hidden="false" customHeight="false" outlineLevel="0" collapsed="false">
      <c r="A36" s="3" t="s">
        <v>69</v>
      </c>
      <c r="B36" s="3" t="s">
        <v>63</v>
      </c>
      <c r="C36" s="3" t="s">
        <v>6</v>
      </c>
      <c r="D36" s="3" t="s">
        <v>23</v>
      </c>
      <c r="E36" s="3" t="s">
        <v>24</v>
      </c>
      <c r="F36" s="3" t="n">
        <v>5</v>
      </c>
      <c r="G36" s="4" t="n">
        <v>6500</v>
      </c>
      <c r="H36" s="4" t="n">
        <f aca="false">F36*G36</f>
        <v>32500</v>
      </c>
    </row>
    <row r="37" customFormat="false" ht="15" hidden="false" customHeight="false" outlineLevel="0" collapsed="false">
      <c r="A37" s="3" t="s">
        <v>70</v>
      </c>
      <c r="B37" s="3" t="s">
        <v>71</v>
      </c>
      <c r="C37" s="3" t="s">
        <v>6</v>
      </c>
      <c r="D37" s="3" t="s">
        <v>26</v>
      </c>
      <c r="E37" s="3" t="s">
        <v>24</v>
      </c>
      <c r="F37" s="3" t="n">
        <v>2</v>
      </c>
      <c r="G37" s="4" t="n">
        <v>2500</v>
      </c>
      <c r="H37" s="4" t="n">
        <f aca="false">F37*G37</f>
        <v>5000</v>
      </c>
    </row>
    <row r="38" customFormat="false" ht="15" hidden="false" customHeight="false" outlineLevel="0" collapsed="false">
      <c r="A38" s="3" t="s">
        <v>72</v>
      </c>
      <c r="B38" s="3" t="s">
        <v>71</v>
      </c>
      <c r="C38" s="3" t="s">
        <v>8</v>
      </c>
      <c r="D38" s="3" t="s">
        <v>34</v>
      </c>
      <c r="E38" s="3" t="s">
        <v>27</v>
      </c>
      <c r="F38" s="3" t="n">
        <v>2</v>
      </c>
      <c r="G38" s="4" t="n">
        <v>18500</v>
      </c>
      <c r="H38" s="4" t="n">
        <f aca="false">F38*G38</f>
        <v>37000</v>
      </c>
    </row>
    <row r="39" customFormat="false" ht="15" hidden="false" customHeight="false" outlineLevel="0" collapsed="false">
      <c r="A39" s="3" t="s">
        <v>73</v>
      </c>
      <c r="B39" s="3" t="s">
        <v>71</v>
      </c>
      <c r="C39" s="3" t="s">
        <v>11</v>
      </c>
      <c r="D39" s="3" t="s">
        <v>26</v>
      </c>
      <c r="E39" s="3" t="s">
        <v>24</v>
      </c>
      <c r="F39" s="3" t="n">
        <v>4</v>
      </c>
      <c r="G39" s="4" t="n">
        <v>2500</v>
      </c>
      <c r="H39" s="4" t="n">
        <f aca="false">F39*G39</f>
        <v>10000</v>
      </c>
    </row>
    <row r="40" customFormat="false" ht="15" hidden="false" customHeight="false" outlineLevel="0" collapsed="false">
      <c r="A40" s="3" t="s">
        <v>74</v>
      </c>
      <c r="B40" s="3" t="s">
        <v>71</v>
      </c>
      <c r="C40" s="3" t="s">
        <v>6</v>
      </c>
      <c r="D40" s="3" t="s">
        <v>26</v>
      </c>
      <c r="E40" s="3" t="s">
        <v>24</v>
      </c>
      <c r="F40" s="3" t="n">
        <v>5</v>
      </c>
      <c r="G40" s="4" t="n">
        <v>2500</v>
      </c>
      <c r="H40" s="4" t="n">
        <f aca="false">F40*G40</f>
        <v>12500</v>
      </c>
    </row>
    <row r="41" customFormat="false" ht="15" hidden="false" customHeight="false" outlineLevel="0" collapsed="false">
      <c r="A41" s="3" t="s">
        <v>75</v>
      </c>
      <c r="B41" s="3" t="s">
        <v>71</v>
      </c>
      <c r="C41" s="3" t="s">
        <v>8</v>
      </c>
      <c r="D41" s="3" t="s">
        <v>31</v>
      </c>
      <c r="E41" s="3" t="s">
        <v>24</v>
      </c>
      <c r="F41" s="3" t="n">
        <v>1</v>
      </c>
      <c r="G41" s="4" t="n">
        <v>62000</v>
      </c>
      <c r="H41" s="4" t="n">
        <f aca="false">F41*G41</f>
        <v>62000</v>
      </c>
    </row>
    <row r="42" customFormat="false" ht="15" hidden="false" customHeight="false" outlineLevel="0" collapsed="false">
      <c r="A42" s="3" t="s">
        <v>76</v>
      </c>
      <c r="B42" s="3" t="s">
        <v>71</v>
      </c>
      <c r="C42" s="3" t="s">
        <v>8</v>
      </c>
      <c r="D42" s="3" t="s">
        <v>29</v>
      </c>
      <c r="E42" s="3" t="s">
        <v>27</v>
      </c>
      <c r="F42" s="3" t="n">
        <v>2</v>
      </c>
      <c r="G42" s="4" t="n">
        <v>45000</v>
      </c>
      <c r="H42" s="4" t="n">
        <f aca="false">F42*G42</f>
        <v>90000</v>
      </c>
    </row>
    <row r="43" customFormat="false" ht="15" hidden="false" customHeight="false" outlineLevel="0" collapsed="false">
      <c r="A43" s="3" t="s">
        <v>77</v>
      </c>
      <c r="B43" s="3" t="s">
        <v>71</v>
      </c>
      <c r="C43" s="3" t="s">
        <v>8</v>
      </c>
      <c r="D43" s="3" t="s">
        <v>34</v>
      </c>
      <c r="E43" s="3" t="s">
        <v>27</v>
      </c>
      <c r="F43" s="3" t="n">
        <v>1</v>
      </c>
      <c r="G43" s="4" t="n">
        <v>18500</v>
      </c>
      <c r="H43" s="4" t="n">
        <f aca="false">F43*G43</f>
        <v>18500</v>
      </c>
    </row>
    <row r="44" customFormat="false" ht="15" hidden="false" customHeight="false" outlineLevel="0" collapsed="false">
      <c r="A44" s="3" t="s">
        <v>78</v>
      </c>
      <c r="B44" s="3" t="s">
        <v>79</v>
      </c>
      <c r="C44" s="3" t="s">
        <v>8</v>
      </c>
      <c r="D44" s="3" t="s">
        <v>23</v>
      </c>
      <c r="E44" s="3" t="s">
        <v>24</v>
      </c>
      <c r="F44" s="3" t="n">
        <v>5</v>
      </c>
      <c r="G44" s="4" t="n">
        <v>6500</v>
      </c>
      <c r="H44" s="4" t="n">
        <f aca="false">F44*G44</f>
        <v>32500</v>
      </c>
    </row>
    <row r="45" customFormat="false" ht="15" hidden="false" customHeight="false" outlineLevel="0" collapsed="false">
      <c r="A45" s="3" t="s">
        <v>80</v>
      </c>
      <c r="B45" s="3" t="s">
        <v>79</v>
      </c>
      <c r="C45" s="3" t="s">
        <v>11</v>
      </c>
      <c r="D45" s="3" t="s">
        <v>34</v>
      </c>
      <c r="E45" s="3" t="s">
        <v>27</v>
      </c>
      <c r="F45" s="3" t="n">
        <v>1</v>
      </c>
      <c r="G45" s="4" t="n">
        <v>18500</v>
      </c>
      <c r="H45" s="4" t="n">
        <f aca="false">F45*G45</f>
        <v>18500</v>
      </c>
    </row>
    <row r="46" customFormat="false" ht="15" hidden="false" customHeight="false" outlineLevel="0" collapsed="false">
      <c r="A46" s="3" t="s">
        <v>81</v>
      </c>
      <c r="B46" s="3" t="s">
        <v>79</v>
      </c>
      <c r="C46" s="3" t="s">
        <v>6</v>
      </c>
      <c r="D46" s="3" t="s">
        <v>34</v>
      </c>
      <c r="E46" s="3" t="s">
        <v>24</v>
      </c>
      <c r="F46" s="3" t="n">
        <v>2</v>
      </c>
      <c r="G46" s="4" t="n">
        <v>18500</v>
      </c>
      <c r="H46" s="4" t="n">
        <f aca="false">F46*G46</f>
        <v>37000</v>
      </c>
    </row>
    <row r="47" customFormat="false" ht="15" hidden="false" customHeight="false" outlineLevel="0" collapsed="false">
      <c r="A47" s="3" t="s">
        <v>82</v>
      </c>
      <c r="B47" s="3" t="s">
        <v>79</v>
      </c>
      <c r="C47" s="3" t="s">
        <v>6</v>
      </c>
      <c r="D47" s="3" t="s">
        <v>40</v>
      </c>
      <c r="E47" s="3" t="s">
        <v>27</v>
      </c>
      <c r="F47" s="3" t="n">
        <v>1</v>
      </c>
      <c r="G47" s="4" t="n">
        <v>28000</v>
      </c>
      <c r="H47" s="4" t="n">
        <f aca="false">F47*G47</f>
        <v>28000</v>
      </c>
    </row>
    <row r="48" customFormat="false" ht="15" hidden="false" customHeight="false" outlineLevel="0" collapsed="false">
      <c r="A48" s="3" t="s">
        <v>83</v>
      </c>
      <c r="B48" s="3" t="s">
        <v>79</v>
      </c>
      <c r="C48" s="3" t="s">
        <v>6</v>
      </c>
      <c r="D48" s="3" t="s">
        <v>34</v>
      </c>
      <c r="E48" s="3" t="s">
        <v>24</v>
      </c>
      <c r="F48" s="3" t="n">
        <v>2</v>
      </c>
      <c r="G48" s="4" t="n">
        <v>18500</v>
      </c>
      <c r="H48" s="4" t="n">
        <f aca="false">F48*G48</f>
        <v>37000</v>
      </c>
    </row>
    <row r="49" customFormat="false" ht="15" hidden="false" customHeight="false" outlineLevel="0" collapsed="false">
      <c r="A49" s="3" t="s">
        <v>84</v>
      </c>
      <c r="B49" s="3" t="s">
        <v>85</v>
      </c>
      <c r="C49" s="3" t="s">
        <v>8</v>
      </c>
      <c r="D49" s="3" t="s">
        <v>34</v>
      </c>
      <c r="E49" s="3" t="s">
        <v>24</v>
      </c>
      <c r="F49" s="3" t="n">
        <v>2</v>
      </c>
      <c r="G49" s="4" t="n">
        <v>18500</v>
      </c>
      <c r="H49" s="4" t="n">
        <f aca="false">F49*G49</f>
        <v>37000</v>
      </c>
    </row>
    <row r="50" customFormat="false" ht="15" hidden="false" customHeight="false" outlineLevel="0" collapsed="false">
      <c r="A50" s="3" t="s">
        <v>86</v>
      </c>
      <c r="B50" s="3" t="s">
        <v>85</v>
      </c>
      <c r="C50" s="3" t="s">
        <v>11</v>
      </c>
      <c r="D50" s="3" t="s">
        <v>34</v>
      </c>
      <c r="E50" s="3" t="s">
        <v>27</v>
      </c>
      <c r="F50" s="3" t="n">
        <v>2</v>
      </c>
      <c r="G50" s="4" t="n">
        <v>18500</v>
      </c>
      <c r="H50" s="4" t="n">
        <f aca="false">F50*G50</f>
        <v>37000</v>
      </c>
    </row>
    <row r="51" customFormat="false" ht="15" hidden="false" customHeight="false" outlineLevel="0" collapsed="false">
      <c r="A51" s="3" t="s">
        <v>87</v>
      </c>
      <c r="B51" s="3" t="s">
        <v>85</v>
      </c>
      <c r="C51" s="3" t="s">
        <v>10</v>
      </c>
      <c r="D51" s="3" t="s">
        <v>34</v>
      </c>
      <c r="E51" s="3" t="s">
        <v>27</v>
      </c>
      <c r="F51" s="3" t="n">
        <v>1</v>
      </c>
      <c r="G51" s="4" t="n">
        <v>18500</v>
      </c>
      <c r="H51" s="4" t="n">
        <f aca="false">F51*G51</f>
        <v>18500</v>
      </c>
    </row>
    <row r="52" customFormat="false" ht="15" hidden="false" customHeight="false" outlineLevel="0" collapsed="false">
      <c r="A52" s="3" t="s">
        <v>88</v>
      </c>
      <c r="B52" s="3" t="s">
        <v>85</v>
      </c>
      <c r="C52" s="3" t="s">
        <v>6</v>
      </c>
      <c r="D52" s="3" t="s">
        <v>29</v>
      </c>
      <c r="E52" s="3" t="s">
        <v>24</v>
      </c>
      <c r="F52" s="3" t="n">
        <v>1</v>
      </c>
      <c r="G52" s="4" t="n">
        <v>45000</v>
      </c>
      <c r="H52" s="4" t="n">
        <f aca="false">F52*G52</f>
        <v>45000</v>
      </c>
    </row>
    <row r="53" customFormat="false" ht="15" hidden="false" customHeight="false" outlineLevel="0" collapsed="false">
      <c r="A53" s="3" t="s">
        <v>89</v>
      </c>
      <c r="B53" s="3" t="s">
        <v>90</v>
      </c>
      <c r="C53" s="3" t="s">
        <v>6</v>
      </c>
      <c r="D53" s="3" t="s">
        <v>23</v>
      </c>
      <c r="E53" s="3" t="s">
        <v>27</v>
      </c>
      <c r="F53" s="3" t="n">
        <v>1</v>
      </c>
      <c r="G53" s="4" t="n">
        <v>6500</v>
      </c>
      <c r="H53" s="4" t="n">
        <f aca="false">F53*G53</f>
        <v>6500</v>
      </c>
    </row>
    <row r="54" customFormat="false" ht="15" hidden="false" customHeight="false" outlineLevel="0" collapsed="false">
      <c r="A54" s="3" t="s">
        <v>91</v>
      </c>
      <c r="B54" s="3" t="s">
        <v>90</v>
      </c>
      <c r="C54" s="3" t="s">
        <v>8</v>
      </c>
      <c r="D54" s="3" t="s">
        <v>23</v>
      </c>
      <c r="E54" s="3" t="s">
        <v>24</v>
      </c>
      <c r="F54" s="3" t="n">
        <v>5</v>
      </c>
      <c r="G54" s="4" t="n">
        <v>6500</v>
      </c>
      <c r="H54" s="4" t="n">
        <f aca="false">F54*G54</f>
        <v>32500</v>
      </c>
    </row>
    <row r="55" customFormat="false" ht="15" hidden="false" customHeight="false" outlineLevel="0" collapsed="false">
      <c r="A55" s="3" t="s">
        <v>92</v>
      </c>
      <c r="B55" s="3" t="s">
        <v>90</v>
      </c>
      <c r="C55" s="3" t="s">
        <v>11</v>
      </c>
      <c r="D55" s="3" t="s">
        <v>40</v>
      </c>
      <c r="E55" s="3" t="s">
        <v>27</v>
      </c>
      <c r="F55" s="3" t="n">
        <v>2</v>
      </c>
      <c r="G55" s="4" t="n">
        <v>28000</v>
      </c>
      <c r="H55" s="4" t="n">
        <f aca="false">F55*G55</f>
        <v>56000</v>
      </c>
    </row>
    <row r="56" customFormat="false" ht="15" hidden="false" customHeight="false" outlineLevel="0" collapsed="false">
      <c r="A56" s="3" t="s">
        <v>93</v>
      </c>
      <c r="B56" s="3" t="s">
        <v>90</v>
      </c>
      <c r="C56" s="3" t="s">
        <v>10</v>
      </c>
      <c r="D56" s="3" t="s">
        <v>34</v>
      </c>
      <c r="E56" s="3" t="s">
        <v>27</v>
      </c>
      <c r="F56" s="3" t="n">
        <v>2</v>
      </c>
      <c r="G56" s="4" t="n">
        <v>18500</v>
      </c>
      <c r="H56" s="4" t="n">
        <f aca="false">F56*G56</f>
        <v>37000</v>
      </c>
    </row>
    <row r="57" customFormat="false" ht="15" hidden="false" customHeight="false" outlineLevel="0" collapsed="false">
      <c r="A57" s="3" t="s">
        <v>94</v>
      </c>
      <c r="B57" s="3" t="s">
        <v>90</v>
      </c>
      <c r="C57" s="3" t="s">
        <v>11</v>
      </c>
      <c r="D57" s="3" t="s">
        <v>34</v>
      </c>
      <c r="E57" s="3" t="s">
        <v>27</v>
      </c>
      <c r="F57" s="3" t="n">
        <v>2</v>
      </c>
      <c r="G57" s="4" t="n">
        <v>18500</v>
      </c>
      <c r="H57" s="4" t="n">
        <f aca="false">F57*G57</f>
        <v>37000</v>
      </c>
    </row>
    <row r="58" customFormat="false" ht="15" hidden="false" customHeight="false" outlineLevel="0" collapsed="false">
      <c r="A58" s="3" t="s">
        <v>95</v>
      </c>
      <c r="B58" s="3" t="s">
        <v>90</v>
      </c>
      <c r="C58" s="3" t="s">
        <v>8</v>
      </c>
      <c r="D58" s="3" t="s">
        <v>34</v>
      </c>
      <c r="E58" s="3" t="s">
        <v>27</v>
      </c>
      <c r="F58" s="3" t="n">
        <v>2</v>
      </c>
      <c r="G58" s="4" t="n">
        <v>18500</v>
      </c>
      <c r="H58" s="4" t="n">
        <f aca="false">F58*G58</f>
        <v>37000</v>
      </c>
    </row>
    <row r="59" customFormat="false" ht="15" hidden="false" customHeight="false" outlineLevel="0" collapsed="false">
      <c r="A59" s="3" t="s">
        <v>96</v>
      </c>
      <c r="B59" s="3" t="s">
        <v>97</v>
      </c>
      <c r="C59" s="3" t="s">
        <v>8</v>
      </c>
      <c r="D59" s="3" t="s">
        <v>23</v>
      </c>
      <c r="E59" s="3" t="s">
        <v>24</v>
      </c>
      <c r="F59" s="3" t="n">
        <v>2</v>
      </c>
      <c r="G59" s="4" t="n">
        <v>6500</v>
      </c>
      <c r="H59" s="4" t="n">
        <f aca="false">F59*G59</f>
        <v>13000</v>
      </c>
    </row>
    <row r="60" customFormat="false" ht="15" hidden="false" customHeight="false" outlineLevel="0" collapsed="false">
      <c r="A60" s="3" t="s">
        <v>98</v>
      </c>
      <c r="B60" s="3" t="s">
        <v>97</v>
      </c>
      <c r="C60" s="3" t="s">
        <v>10</v>
      </c>
      <c r="D60" s="3" t="s">
        <v>34</v>
      </c>
      <c r="E60" s="3" t="s">
        <v>24</v>
      </c>
      <c r="F60" s="3" t="n">
        <v>2</v>
      </c>
      <c r="G60" s="4" t="n">
        <v>18500</v>
      </c>
      <c r="H60" s="4" t="n">
        <f aca="false">F60*G60</f>
        <v>37000</v>
      </c>
    </row>
    <row r="61" customFormat="false" ht="15" hidden="false" customHeight="false" outlineLevel="0" collapsed="false">
      <c r="A61" s="3" t="s">
        <v>99</v>
      </c>
      <c r="B61" s="3" t="s">
        <v>97</v>
      </c>
      <c r="C61" s="3" t="s">
        <v>11</v>
      </c>
      <c r="D61" s="3" t="s">
        <v>34</v>
      </c>
      <c r="E61" s="3" t="s">
        <v>24</v>
      </c>
      <c r="F61" s="3" t="n">
        <v>2</v>
      </c>
      <c r="G61" s="4" t="n">
        <v>18500</v>
      </c>
      <c r="H61" s="4" t="n">
        <f aca="false">F61*G61</f>
        <v>37000</v>
      </c>
    </row>
    <row r="62" customFormat="false" ht="15" hidden="false" customHeight="false" outlineLevel="0" collapsed="false">
      <c r="A62" s="3" t="s">
        <v>100</v>
      </c>
      <c r="B62" s="3" t="s">
        <v>97</v>
      </c>
      <c r="C62" s="3" t="s">
        <v>12</v>
      </c>
      <c r="D62" s="3" t="s">
        <v>23</v>
      </c>
      <c r="E62" s="3" t="s">
        <v>24</v>
      </c>
      <c r="F62" s="3" t="n">
        <v>2</v>
      </c>
      <c r="G62" s="4" t="n">
        <v>6500</v>
      </c>
      <c r="H62" s="4" t="n">
        <f aca="false">F62*G62</f>
        <v>13000</v>
      </c>
    </row>
    <row r="63" customFormat="false" ht="15" hidden="false" customHeight="false" outlineLevel="0" collapsed="false">
      <c r="A63" s="3" t="s">
        <v>101</v>
      </c>
      <c r="B63" s="3" t="s">
        <v>97</v>
      </c>
      <c r="C63" s="3" t="s">
        <v>12</v>
      </c>
      <c r="D63" s="3" t="s">
        <v>23</v>
      </c>
      <c r="E63" s="3" t="s">
        <v>24</v>
      </c>
      <c r="F63" s="3" t="n">
        <v>1</v>
      </c>
      <c r="G63" s="4" t="n">
        <v>6500</v>
      </c>
      <c r="H63" s="4" t="n">
        <f aca="false">F63*G63</f>
        <v>6500</v>
      </c>
    </row>
    <row r="64" customFormat="false" ht="15" hidden="false" customHeight="false" outlineLevel="0" collapsed="false">
      <c r="A64" s="3" t="s">
        <v>102</v>
      </c>
      <c r="B64" s="3" t="s">
        <v>97</v>
      </c>
      <c r="C64" s="3" t="s">
        <v>12</v>
      </c>
      <c r="D64" s="3" t="s">
        <v>26</v>
      </c>
      <c r="E64" s="3" t="s">
        <v>24</v>
      </c>
      <c r="F64" s="3" t="n">
        <v>5</v>
      </c>
      <c r="G64" s="4" t="n">
        <v>2500</v>
      </c>
      <c r="H64" s="4" t="n">
        <f aca="false">F64*G64</f>
        <v>12500</v>
      </c>
    </row>
    <row r="65" customFormat="false" ht="15" hidden="false" customHeight="false" outlineLevel="0" collapsed="false">
      <c r="A65" s="3" t="s">
        <v>103</v>
      </c>
      <c r="B65" s="3" t="s">
        <v>104</v>
      </c>
      <c r="C65" s="3" t="s">
        <v>6</v>
      </c>
      <c r="D65" s="3" t="s">
        <v>31</v>
      </c>
      <c r="E65" s="3" t="s">
        <v>24</v>
      </c>
      <c r="F65" s="3" t="n">
        <v>1</v>
      </c>
      <c r="G65" s="4" t="n">
        <v>62000</v>
      </c>
      <c r="H65" s="4" t="n">
        <f aca="false">F65*G65</f>
        <v>62000</v>
      </c>
    </row>
    <row r="66" customFormat="false" ht="15" hidden="false" customHeight="false" outlineLevel="0" collapsed="false">
      <c r="A66" s="3" t="s">
        <v>105</v>
      </c>
      <c r="B66" s="3" t="s">
        <v>104</v>
      </c>
      <c r="C66" s="3" t="s">
        <v>8</v>
      </c>
      <c r="D66" s="3" t="s">
        <v>34</v>
      </c>
      <c r="E66" s="3" t="s">
        <v>24</v>
      </c>
      <c r="F66" s="3" t="n">
        <v>2</v>
      </c>
      <c r="G66" s="4" t="n">
        <v>18500</v>
      </c>
      <c r="H66" s="4" t="n">
        <f aca="false">F66*G66</f>
        <v>37000</v>
      </c>
    </row>
    <row r="67" customFormat="false" ht="15" hidden="false" customHeight="false" outlineLevel="0" collapsed="false">
      <c r="A67" s="3" t="s">
        <v>106</v>
      </c>
      <c r="B67" s="3" t="s">
        <v>104</v>
      </c>
      <c r="C67" s="3" t="s">
        <v>6</v>
      </c>
      <c r="D67" s="3" t="s">
        <v>34</v>
      </c>
      <c r="E67" s="3" t="s">
        <v>27</v>
      </c>
      <c r="F67" s="3" t="n">
        <v>1</v>
      </c>
      <c r="G67" s="4" t="n">
        <v>18500</v>
      </c>
      <c r="H67" s="4" t="n">
        <f aca="false">F67*G67</f>
        <v>18500</v>
      </c>
    </row>
    <row r="68" customFormat="false" ht="15" hidden="false" customHeight="false" outlineLevel="0" collapsed="false">
      <c r="A68" s="3" t="s">
        <v>107</v>
      </c>
      <c r="B68" s="3" t="s">
        <v>104</v>
      </c>
      <c r="C68" s="3" t="s">
        <v>10</v>
      </c>
      <c r="D68" s="3" t="s">
        <v>23</v>
      </c>
      <c r="E68" s="3" t="s">
        <v>24</v>
      </c>
      <c r="F68" s="3" t="n">
        <v>2</v>
      </c>
      <c r="G68" s="4" t="n">
        <v>6500</v>
      </c>
      <c r="H68" s="4" t="n">
        <f aca="false">F68*G68</f>
        <v>13000</v>
      </c>
    </row>
    <row r="69" customFormat="false" ht="15" hidden="false" customHeight="false" outlineLevel="0" collapsed="false">
      <c r="A69" s="3" t="s">
        <v>108</v>
      </c>
      <c r="B69" s="3" t="s">
        <v>104</v>
      </c>
      <c r="C69" s="3" t="s">
        <v>10</v>
      </c>
      <c r="D69" s="3" t="s">
        <v>23</v>
      </c>
      <c r="E69" s="3" t="s">
        <v>24</v>
      </c>
      <c r="F69" s="3" t="n">
        <v>3</v>
      </c>
      <c r="G69" s="4" t="n">
        <v>6500</v>
      </c>
      <c r="H69" s="4" t="n">
        <f aca="false">F69*G69</f>
        <v>19500</v>
      </c>
    </row>
    <row r="70" customFormat="false" ht="15" hidden="false" customHeight="false" outlineLevel="0" collapsed="false">
      <c r="A70" s="3" t="s">
        <v>109</v>
      </c>
      <c r="B70" s="3" t="s">
        <v>110</v>
      </c>
      <c r="C70" s="3" t="s">
        <v>6</v>
      </c>
      <c r="D70" s="3" t="s">
        <v>23</v>
      </c>
      <c r="E70" s="3" t="s">
        <v>27</v>
      </c>
      <c r="F70" s="3" t="n">
        <v>4</v>
      </c>
      <c r="G70" s="4" t="n">
        <v>6500</v>
      </c>
      <c r="H70" s="4" t="n">
        <f aca="false">F70*G70</f>
        <v>26000</v>
      </c>
    </row>
    <row r="71" customFormat="false" ht="15" hidden="false" customHeight="false" outlineLevel="0" collapsed="false">
      <c r="A71" s="3" t="s">
        <v>111</v>
      </c>
      <c r="B71" s="3" t="s">
        <v>110</v>
      </c>
      <c r="C71" s="3" t="s">
        <v>8</v>
      </c>
      <c r="D71" s="3" t="s">
        <v>26</v>
      </c>
      <c r="E71" s="3" t="s">
        <v>27</v>
      </c>
      <c r="F71" s="3" t="n">
        <v>4</v>
      </c>
      <c r="G71" s="4" t="n">
        <v>2500</v>
      </c>
      <c r="H71" s="4" t="n">
        <f aca="false">F71*G71</f>
        <v>10000</v>
      </c>
    </row>
    <row r="72" customFormat="false" ht="15" hidden="false" customHeight="false" outlineLevel="0" collapsed="false">
      <c r="A72" s="3" t="s">
        <v>112</v>
      </c>
      <c r="B72" s="3" t="s">
        <v>113</v>
      </c>
      <c r="C72" s="3" t="s">
        <v>11</v>
      </c>
      <c r="D72" s="3" t="s">
        <v>23</v>
      </c>
      <c r="E72" s="3" t="s">
        <v>24</v>
      </c>
      <c r="F72" s="3" t="n">
        <v>4</v>
      </c>
      <c r="G72" s="4" t="n">
        <v>6500</v>
      </c>
      <c r="H72" s="4" t="n">
        <f aca="false">F72*G72</f>
        <v>26000</v>
      </c>
    </row>
    <row r="73" customFormat="false" ht="15" hidden="false" customHeight="false" outlineLevel="0" collapsed="false">
      <c r="A73" s="3" t="s">
        <v>114</v>
      </c>
      <c r="B73" s="3" t="s">
        <v>113</v>
      </c>
      <c r="C73" s="3" t="s">
        <v>6</v>
      </c>
      <c r="D73" s="3" t="s">
        <v>40</v>
      </c>
      <c r="E73" s="3" t="s">
        <v>24</v>
      </c>
      <c r="F73" s="3" t="n">
        <v>1</v>
      </c>
      <c r="G73" s="4" t="n">
        <v>28000</v>
      </c>
      <c r="H73" s="4" t="n">
        <f aca="false">F73*G73</f>
        <v>28000</v>
      </c>
    </row>
    <row r="74" customFormat="false" ht="15" hidden="false" customHeight="false" outlineLevel="0" collapsed="false">
      <c r="A74" s="3" t="s">
        <v>115</v>
      </c>
      <c r="B74" s="3" t="s">
        <v>113</v>
      </c>
      <c r="C74" s="3" t="s">
        <v>10</v>
      </c>
      <c r="D74" s="3" t="s">
        <v>23</v>
      </c>
      <c r="E74" s="3" t="s">
        <v>27</v>
      </c>
      <c r="F74" s="3" t="n">
        <v>3</v>
      </c>
      <c r="G74" s="4" t="n">
        <v>6500</v>
      </c>
      <c r="H74" s="4" t="n">
        <f aca="false">F74*G74</f>
        <v>19500</v>
      </c>
    </row>
    <row r="75" customFormat="false" ht="15" hidden="false" customHeight="false" outlineLevel="0" collapsed="false">
      <c r="A75" s="3" t="s">
        <v>116</v>
      </c>
      <c r="B75" s="3" t="s">
        <v>113</v>
      </c>
      <c r="C75" s="3" t="s">
        <v>6</v>
      </c>
      <c r="D75" s="3" t="s">
        <v>26</v>
      </c>
      <c r="E75" s="3" t="s">
        <v>27</v>
      </c>
      <c r="F75" s="3" t="n">
        <v>2</v>
      </c>
      <c r="G75" s="4" t="n">
        <v>2500</v>
      </c>
      <c r="H75" s="4" t="n">
        <f aca="false">F75*G75</f>
        <v>5000</v>
      </c>
    </row>
    <row r="76" customFormat="false" ht="15" hidden="false" customHeight="false" outlineLevel="0" collapsed="false">
      <c r="A76" s="3" t="s">
        <v>117</v>
      </c>
      <c r="B76" s="3" t="s">
        <v>113</v>
      </c>
      <c r="C76" s="3" t="s">
        <v>10</v>
      </c>
      <c r="D76" s="3" t="s">
        <v>34</v>
      </c>
      <c r="E76" s="3" t="s">
        <v>24</v>
      </c>
      <c r="F76" s="3" t="n">
        <v>1</v>
      </c>
      <c r="G76" s="4" t="n">
        <v>18500</v>
      </c>
      <c r="H76" s="4" t="n">
        <f aca="false">F76*G76</f>
        <v>18500</v>
      </c>
    </row>
    <row r="77" customFormat="false" ht="15" hidden="false" customHeight="false" outlineLevel="0" collapsed="false">
      <c r="A77" s="3" t="s">
        <v>118</v>
      </c>
      <c r="B77" s="3" t="s">
        <v>113</v>
      </c>
      <c r="C77" s="3" t="s">
        <v>10</v>
      </c>
      <c r="D77" s="3" t="s">
        <v>26</v>
      </c>
      <c r="E77" s="3" t="s">
        <v>24</v>
      </c>
      <c r="F77" s="3" t="n">
        <v>2</v>
      </c>
      <c r="G77" s="4" t="n">
        <v>2500</v>
      </c>
      <c r="H77" s="4" t="n">
        <f aca="false">F77*G77</f>
        <v>5000</v>
      </c>
    </row>
    <row r="78" customFormat="false" ht="15" hidden="false" customHeight="false" outlineLevel="0" collapsed="false">
      <c r="A78" s="3" t="s">
        <v>119</v>
      </c>
      <c r="B78" s="3" t="s">
        <v>113</v>
      </c>
      <c r="C78" s="3" t="s">
        <v>6</v>
      </c>
      <c r="D78" s="3" t="s">
        <v>26</v>
      </c>
      <c r="E78" s="3" t="s">
        <v>27</v>
      </c>
      <c r="F78" s="3" t="n">
        <v>3</v>
      </c>
      <c r="G78" s="4" t="n">
        <v>2500</v>
      </c>
      <c r="H78" s="4" t="n">
        <f aca="false">F78*G78</f>
        <v>7500</v>
      </c>
    </row>
    <row r="79" customFormat="false" ht="15" hidden="false" customHeight="false" outlineLevel="0" collapsed="false">
      <c r="A79" s="3" t="s">
        <v>120</v>
      </c>
      <c r="B79" s="3" t="s">
        <v>121</v>
      </c>
      <c r="C79" s="3" t="s">
        <v>6</v>
      </c>
      <c r="D79" s="3" t="s">
        <v>31</v>
      </c>
      <c r="E79" s="3" t="s">
        <v>24</v>
      </c>
      <c r="F79" s="3" t="n">
        <v>2</v>
      </c>
      <c r="G79" s="4" t="n">
        <v>62000</v>
      </c>
      <c r="H79" s="4" t="n">
        <f aca="false">F79*G79</f>
        <v>124000</v>
      </c>
    </row>
    <row r="80" customFormat="false" ht="15" hidden="false" customHeight="false" outlineLevel="0" collapsed="false">
      <c r="A80" s="3" t="s">
        <v>122</v>
      </c>
      <c r="B80" s="3" t="s">
        <v>121</v>
      </c>
      <c r="C80" s="3" t="s">
        <v>12</v>
      </c>
      <c r="D80" s="3" t="s">
        <v>34</v>
      </c>
      <c r="E80" s="3" t="s">
        <v>24</v>
      </c>
      <c r="F80" s="3" t="n">
        <v>1</v>
      </c>
      <c r="G80" s="4" t="n">
        <v>18500</v>
      </c>
      <c r="H80" s="4" t="n">
        <f aca="false">F80*G80</f>
        <v>18500</v>
      </c>
    </row>
    <row r="81" customFormat="false" ht="15" hidden="false" customHeight="false" outlineLevel="0" collapsed="false">
      <c r="A81" s="3" t="s">
        <v>123</v>
      </c>
      <c r="B81" s="3" t="s">
        <v>121</v>
      </c>
      <c r="C81" s="3" t="s">
        <v>10</v>
      </c>
      <c r="D81" s="3" t="s">
        <v>23</v>
      </c>
      <c r="E81" s="3" t="s">
        <v>24</v>
      </c>
      <c r="F81" s="3" t="n">
        <v>1</v>
      </c>
      <c r="G81" s="4" t="n">
        <v>6500</v>
      </c>
      <c r="H81" s="4" t="n">
        <f aca="false">F81*G81</f>
        <v>6500</v>
      </c>
    </row>
    <row r="82" customFormat="false" ht="15" hidden="false" customHeight="false" outlineLevel="0" collapsed="false">
      <c r="A82" s="3" t="s">
        <v>124</v>
      </c>
      <c r="B82" s="3" t="s">
        <v>121</v>
      </c>
      <c r="C82" s="3" t="s">
        <v>8</v>
      </c>
      <c r="D82" s="3" t="s">
        <v>34</v>
      </c>
      <c r="E82" s="3" t="s">
        <v>27</v>
      </c>
      <c r="F82" s="3" t="n">
        <v>2</v>
      </c>
      <c r="G82" s="4" t="n">
        <v>18500</v>
      </c>
      <c r="H82" s="4" t="n">
        <f aca="false">F82*G82</f>
        <v>37000</v>
      </c>
    </row>
    <row r="83" customFormat="false" ht="15" hidden="false" customHeight="false" outlineLevel="0" collapsed="false">
      <c r="A83" s="3" t="s">
        <v>125</v>
      </c>
      <c r="B83" s="3" t="s">
        <v>121</v>
      </c>
      <c r="C83" s="3" t="s">
        <v>6</v>
      </c>
      <c r="D83" s="3" t="s">
        <v>34</v>
      </c>
      <c r="E83" s="3" t="s">
        <v>27</v>
      </c>
      <c r="F83" s="3" t="n">
        <v>2</v>
      </c>
      <c r="G83" s="4" t="n">
        <v>18500</v>
      </c>
      <c r="H83" s="4" t="n">
        <f aca="false">F83*G83</f>
        <v>37000</v>
      </c>
    </row>
    <row r="84" customFormat="false" ht="15" hidden="false" customHeight="false" outlineLevel="0" collapsed="false">
      <c r="A84" s="3" t="s">
        <v>126</v>
      </c>
      <c r="B84" s="3" t="s">
        <v>121</v>
      </c>
      <c r="C84" s="3" t="s">
        <v>8</v>
      </c>
      <c r="D84" s="3" t="s">
        <v>34</v>
      </c>
      <c r="E84" s="3" t="s">
        <v>27</v>
      </c>
      <c r="F84" s="3" t="n">
        <v>1</v>
      </c>
      <c r="G84" s="4" t="n">
        <v>18500</v>
      </c>
      <c r="H84" s="4" t="n">
        <f aca="false">F84*G84</f>
        <v>18500</v>
      </c>
    </row>
    <row r="85" customFormat="false" ht="15" hidden="false" customHeight="false" outlineLevel="0" collapsed="false">
      <c r="A85" s="3" t="s">
        <v>127</v>
      </c>
      <c r="B85" s="3" t="s">
        <v>121</v>
      </c>
      <c r="C85" s="3" t="s">
        <v>8</v>
      </c>
      <c r="D85" s="3" t="s">
        <v>34</v>
      </c>
      <c r="E85" s="3" t="s">
        <v>24</v>
      </c>
      <c r="F85" s="3" t="n">
        <v>2</v>
      </c>
      <c r="G85" s="4" t="n">
        <v>18500</v>
      </c>
      <c r="H85" s="4" t="n">
        <f aca="false">F85*G85</f>
        <v>37000</v>
      </c>
    </row>
    <row r="86" customFormat="false" ht="15" hidden="false" customHeight="false" outlineLevel="0" collapsed="false">
      <c r="A86" s="3" t="s">
        <v>128</v>
      </c>
      <c r="B86" s="3" t="s">
        <v>129</v>
      </c>
      <c r="C86" s="3" t="s">
        <v>6</v>
      </c>
      <c r="D86" s="3" t="s">
        <v>26</v>
      </c>
      <c r="E86" s="3" t="s">
        <v>27</v>
      </c>
      <c r="F86" s="3" t="n">
        <v>3</v>
      </c>
      <c r="G86" s="4" t="n">
        <v>2500</v>
      </c>
      <c r="H86" s="4" t="n">
        <f aca="false">F86*G86</f>
        <v>7500</v>
      </c>
    </row>
    <row r="87" customFormat="false" ht="15" hidden="false" customHeight="false" outlineLevel="0" collapsed="false">
      <c r="A87" s="3" t="s">
        <v>130</v>
      </c>
      <c r="B87" s="3" t="s">
        <v>129</v>
      </c>
      <c r="C87" s="3" t="s">
        <v>6</v>
      </c>
      <c r="D87" s="3" t="s">
        <v>40</v>
      </c>
      <c r="E87" s="3" t="s">
        <v>24</v>
      </c>
      <c r="F87" s="3" t="n">
        <v>2</v>
      </c>
      <c r="G87" s="4" t="n">
        <v>28000</v>
      </c>
      <c r="H87" s="4" t="n">
        <f aca="false">F87*G87</f>
        <v>56000</v>
      </c>
    </row>
    <row r="88" customFormat="false" ht="15" hidden="false" customHeight="false" outlineLevel="0" collapsed="false">
      <c r="A88" s="3" t="s">
        <v>131</v>
      </c>
      <c r="B88" s="3" t="s">
        <v>129</v>
      </c>
      <c r="C88" s="3" t="s">
        <v>10</v>
      </c>
      <c r="D88" s="3" t="s">
        <v>23</v>
      </c>
      <c r="E88" s="3" t="s">
        <v>24</v>
      </c>
      <c r="F88" s="3" t="n">
        <v>1</v>
      </c>
      <c r="G88" s="4" t="n">
        <v>6500</v>
      </c>
      <c r="H88" s="4" t="n">
        <f aca="false">F88*G88</f>
        <v>6500</v>
      </c>
    </row>
    <row r="89" customFormat="false" ht="15" hidden="false" customHeight="false" outlineLevel="0" collapsed="false">
      <c r="A89" s="3" t="s">
        <v>132</v>
      </c>
      <c r="B89" s="3" t="s">
        <v>129</v>
      </c>
      <c r="C89" s="3" t="s">
        <v>6</v>
      </c>
      <c r="D89" s="3" t="s">
        <v>31</v>
      </c>
      <c r="E89" s="3" t="s">
        <v>24</v>
      </c>
      <c r="F89" s="3" t="n">
        <v>1</v>
      </c>
      <c r="G89" s="4" t="n">
        <v>62000</v>
      </c>
      <c r="H89" s="4" t="n">
        <f aca="false">F89*G89</f>
        <v>62000</v>
      </c>
    </row>
    <row r="90" customFormat="false" ht="15" hidden="false" customHeight="false" outlineLevel="0" collapsed="false">
      <c r="A90" s="3" t="s">
        <v>133</v>
      </c>
      <c r="B90" s="3" t="s">
        <v>129</v>
      </c>
      <c r="C90" s="3" t="s">
        <v>8</v>
      </c>
      <c r="D90" s="3" t="s">
        <v>40</v>
      </c>
      <c r="E90" s="3" t="s">
        <v>24</v>
      </c>
      <c r="F90" s="3" t="n">
        <v>2</v>
      </c>
      <c r="G90" s="4" t="n">
        <v>28000</v>
      </c>
      <c r="H90" s="4" t="n">
        <f aca="false">F90*G90</f>
        <v>56000</v>
      </c>
    </row>
    <row r="91" customFormat="false" ht="15" hidden="false" customHeight="false" outlineLevel="0" collapsed="false">
      <c r="A91" s="3" t="s">
        <v>134</v>
      </c>
      <c r="B91" s="3" t="s">
        <v>135</v>
      </c>
      <c r="C91" s="3" t="s">
        <v>8</v>
      </c>
      <c r="D91" s="3" t="s">
        <v>23</v>
      </c>
      <c r="E91" s="3" t="s">
        <v>27</v>
      </c>
      <c r="F91" s="3" t="n">
        <v>4</v>
      </c>
      <c r="G91" s="4" t="n">
        <v>6500</v>
      </c>
      <c r="H91" s="4" t="n">
        <f aca="false">F91*G91</f>
        <v>26000</v>
      </c>
    </row>
    <row r="92" customFormat="false" ht="15" hidden="false" customHeight="false" outlineLevel="0" collapsed="false">
      <c r="A92" s="3" t="s">
        <v>136</v>
      </c>
      <c r="B92" s="3" t="s">
        <v>135</v>
      </c>
      <c r="C92" s="3" t="s">
        <v>8</v>
      </c>
      <c r="D92" s="3" t="s">
        <v>23</v>
      </c>
      <c r="E92" s="3" t="s">
        <v>24</v>
      </c>
      <c r="F92" s="3" t="n">
        <v>3</v>
      </c>
      <c r="G92" s="4" t="n">
        <v>6500</v>
      </c>
      <c r="H92" s="4" t="n">
        <f aca="false">F92*G92</f>
        <v>19500</v>
      </c>
    </row>
    <row r="93" customFormat="false" ht="15" hidden="false" customHeight="false" outlineLevel="0" collapsed="false">
      <c r="A93" s="3" t="s">
        <v>137</v>
      </c>
      <c r="B93" s="3" t="s">
        <v>135</v>
      </c>
      <c r="C93" s="3" t="s">
        <v>6</v>
      </c>
      <c r="D93" s="3" t="s">
        <v>31</v>
      </c>
      <c r="E93" s="3" t="s">
        <v>27</v>
      </c>
      <c r="F93" s="3" t="n">
        <v>2</v>
      </c>
      <c r="G93" s="4" t="n">
        <v>62000</v>
      </c>
      <c r="H93" s="4" t="n">
        <f aca="false">F93*G93</f>
        <v>124000</v>
      </c>
    </row>
    <row r="94" customFormat="false" ht="15" hidden="false" customHeight="false" outlineLevel="0" collapsed="false">
      <c r="A94" s="3" t="s">
        <v>138</v>
      </c>
      <c r="B94" s="3" t="s">
        <v>135</v>
      </c>
      <c r="C94" s="3" t="s">
        <v>11</v>
      </c>
      <c r="D94" s="3" t="s">
        <v>40</v>
      </c>
      <c r="E94" s="3" t="s">
        <v>27</v>
      </c>
      <c r="F94" s="3" t="n">
        <v>2</v>
      </c>
      <c r="G94" s="4" t="n">
        <v>28000</v>
      </c>
      <c r="H94" s="4" t="n">
        <f aca="false">F94*G94</f>
        <v>56000</v>
      </c>
    </row>
    <row r="95" customFormat="false" ht="15" hidden="false" customHeight="false" outlineLevel="0" collapsed="false">
      <c r="A95" s="3" t="s">
        <v>139</v>
      </c>
      <c r="B95" s="3" t="s">
        <v>135</v>
      </c>
      <c r="C95" s="3" t="s">
        <v>6</v>
      </c>
      <c r="D95" s="3" t="s">
        <v>34</v>
      </c>
      <c r="E95" s="3" t="s">
        <v>24</v>
      </c>
      <c r="F95" s="3" t="n">
        <v>1</v>
      </c>
      <c r="G95" s="4" t="n">
        <v>18500</v>
      </c>
      <c r="H95" s="4" t="n">
        <f aca="false">F95*G95</f>
        <v>18500</v>
      </c>
    </row>
    <row r="96" customFormat="false" ht="15" hidden="false" customHeight="false" outlineLevel="0" collapsed="false">
      <c r="A96" s="3" t="s">
        <v>140</v>
      </c>
      <c r="B96" s="3" t="s">
        <v>135</v>
      </c>
      <c r="C96" s="3" t="s">
        <v>11</v>
      </c>
      <c r="D96" s="3" t="s">
        <v>40</v>
      </c>
      <c r="E96" s="3" t="s">
        <v>27</v>
      </c>
      <c r="F96" s="3" t="n">
        <v>1</v>
      </c>
      <c r="G96" s="4" t="n">
        <v>28000</v>
      </c>
      <c r="H96" s="4" t="n">
        <f aca="false">F96*G96</f>
        <v>28000</v>
      </c>
    </row>
    <row r="97" customFormat="false" ht="15" hidden="false" customHeight="false" outlineLevel="0" collapsed="false">
      <c r="A97" s="3" t="s">
        <v>141</v>
      </c>
      <c r="B97" s="3" t="s">
        <v>135</v>
      </c>
      <c r="C97" s="3" t="s">
        <v>6</v>
      </c>
      <c r="D97" s="3" t="s">
        <v>34</v>
      </c>
      <c r="E97" s="3" t="s">
        <v>24</v>
      </c>
      <c r="F97" s="3" t="n">
        <v>2</v>
      </c>
      <c r="G97" s="4" t="n">
        <v>18500</v>
      </c>
      <c r="H97" s="4" t="n">
        <f aca="false">F97*G97</f>
        <v>37000</v>
      </c>
    </row>
    <row r="98" customFormat="false" ht="15" hidden="false" customHeight="false" outlineLevel="0" collapsed="false">
      <c r="A98" s="3" t="s">
        <v>142</v>
      </c>
      <c r="B98" s="3" t="s">
        <v>135</v>
      </c>
      <c r="C98" s="3" t="s">
        <v>10</v>
      </c>
      <c r="D98" s="3" t="s">
        <v>26</v>
      </c>
      <c r="E98" s="3" t="s">
        <v>24</v>
      </c>
      <c r="F98" s="3" t="n">
        <v>2</v>
      </c>
      <c r="G98" s="4" t="n">
        <v>2500</v>
      </c>
      <c r="H98" s="4" t="n">
        <f aca="false">F98*G98</f>
        <v>5000</v>
      </c>
    </row>
    <row r="99" customFormat="false" ht="15" hidden="false" customHeight="false" outlineLevel="0" collapsed="false">
      <c r="A99" s="3" t="s">
        <v>143</v>
      </c>
      <c r="B99" s="3" t="s">
        <v>135</v>
      </c>
      <c r="C99" s="3" t="s">
        <v>11</v>
      </c>
      <c r="D99" s="3" t="s">
        <v>26</v>
      </c>
      <c r="E99" s="3" t="s">
        <v>24</v>
      </c>
      <c r="F99" s="3" t="n">
        <v>5</v>
      </c>
      <c r="G99" s="4" t="n">
        <v>2500</v>
      </c>
      <c r="H99" s="4" t="n">
        <f aca="false">F99*G99</f>
        <v>12500</v>
      </c>
    </row>
    <row r="100" customFormat="false" ht="15" hidden="false" customHeight="false" outlineLevel="0" collapsed="false">
      <c r="A100" s="3" t="s">
        <v>144</v>
      </c>
      <c r="B100" s="3" t="s">
        <v>145</v>
      </c>
      <c r="C100" s="3" t="s">
        <v>10</v>
      </c>
      <c r="D100" s="3" t="s">
        <v>31</v>
      </c>
      <c r="E100" s="3" t="s">
        <v>27</v>
      </c>
      <c r="F100" s="3" t="n">
        <v>1</v>
      </c>
      <c r="G100" s="4" t="n">
        <v>62000</v>
      </c>
      <c r="H100" s="4" t="n">
        <f aca="false">F100*G100</f>
        <v>62000</v>
      </c>
    </row>
    <row r="101" customFormat="false" ht="15" hidden="false" customHeight="false" outlineLevel="0" collapsed="false">
      <c r="A101" s="3" t="s">
        <v>146</v>
      </c>
      <c r="B101" s="3" t="s">
        <v>145</v>
      </c>
      <c r="C101" s="3" t="s">
        <v>8</v>
      </c>
      <c r="D101" s="3" t="s">
        <v>34</v>
      </c>
      <c r="E101" s="3" t="s">
        <v>27</v>
      </c>
      <c r="F101" s="3" t="n">
        <v>1</v>
      </c>
      <c r="G101" s="4" t="n">
        <v>18500</v>
      </c>
      <c r="H101" s="4" t="n">
        <f aca="false">F101*G101</f>
        <v>18500</v>
      </c>
    </row>
    <row r="102" customFormat="false" ht="15" hidden="false" customHeight="false" outlineLevel="0" collapsed="false">
      <c r="A102" s="3" t="s">
        <v>147</v>
      </c>
      <c r="B102" s="3" t="s">
        <v>145</v>
      </c>
      <c r="C102" s="3" t="s">
        <v>10</v>
      </c>
      <c r="D102" s="3" t="s">
        <v>40</v>
      </c>
      <c r="E102" s="3" t="s">
        <v>27</v>
      </c>
      <c r="F102" s="3" t="n">
        <v>1</v>
      </c>
      <c r="G102" s="4" t="n">
        <v>28000</v>
      </c>
      <c r="H102" s="4" t="n">
        <f aca="false">F102*G102</f>
        <v>28000</v>
      </c>
    </row>
    <row r="103" customFormat="false" ht="15" hidden="false" customHeight="false" outlineLevel="0" collapsed="false">
      <c r="A103" s="3" t="s">
        <v>148</v>
      </c>
      <c r="B103" s="3" t="s">
        <v>145</v>
      </c>
      <c r="C103" s="3" t="s">
        <v>6</v>
      </c>
      <c r="D103" s="3" t="s">
        <v>23</v>
      </c>
      <c r="E103" s="3" t="s">
        <v>24</v>
      </c>
      <c r="F103" s="3" t="n">
        <v>2</v>
      </c>
      <c r="G103" s="4" t="n">
        <v>6500</v>
      </c>
      <c r="H103" s="4" t="n">
        <f aca="false">F103*G103</f>
        <v>13000</v>
      </c>
    </row>
    <row r="104" customFormat="false" ht="15" hidden="false" customHeight="false" outlineLevel="0" collapsed="false">
      <c r="A104" s="3" t="s">
        <v>149</v>
      </c>
      <c r="B104" s="3" t="s">
        <v>150</v>
      </c>
      <c r="C104" s="3" t="s">
        <v>10</v>
      </c>
      <c r="D104" s="3" t="s">
        <v>23</v>
      </c>
      <c r="E104" s="3" t="s">
        <v>24</v>
      </c>
      <c r="F104" s="3" t="n">
        <v>3</v>
      </c>
      <c r="G104" s="4" t="n">
        <v>6500</v>
      </c>
      <c r="H104" s="4" t="n">
        <f aca="false">F104*G104</f>
        <v>19500</v>
      </c>
    </row>
    <row r="105" customFormat="false" ht="15" hidden="false" customHeight="false" outlineLevel="0" collapsed="false">
      <c r="A105" s="3" t="s">
        <v>151</v>
      </c>
      <c r="B105" s="3" t="s">
        <v>150</v>
      </c>
      <c r="C105" s="3" t="s">
        <v>8</v>
      </c>
      <c r="D105" s="3" t="s">
        <v>23</v>
      </c>
      <c r="E105" s="3" t="s">
        <v>27</v>
      </c>
      <c r="F105" s="3" t="n">
        <v>4</v>
      </c>
      <c r="G105" s="4" t="n">
        <v>6500</v>
      </c>
      <c r="H105" s="4" t="n">
        <f aca="false">F105*G105</f>
        <v>26000</v>
      </c>
    </row>
    <row r="106" customFormat="false" ht="15" hidden="false" customHeight="false" outlineLevel="0" collapsed="false">
      <c r="A106" s="3" t="s">
        <v>152</v>
      </c>
      <c r="B106" s="3" t="s">
        <v>150</v>
      </c>
      <c r="C106" s="3" t="s">
        <v>6</v>
      </c>
      <c r="D106" s="3" t="s">
        <v>34</v>
      </c>
      <c r="E106" s="3" t="s">
        <v>27</v>
      </c>
      <c r="F106" s="3" t="n">
        <v>1</v>
      </c>
      <c r="G106" s="4" t="n">
        <v>18500</v>
      </c>
      <c r="H106" s="4" t="n">
        <f aca="false">F106*G106</f>
        <v>18500</v>
      </c>
    </row>
    <row r="107" customFormat="false" ht="15" hidden="false" customHeight="false" outlineLevel="0" collapsed="false">
      <c r="A107" s="3" t="s">
        <v>153</v>
      </c>
      <c r="B107" s="3" t="s">
        <v>150</v>
      </c>
      <c r="C107" s="3" t="s">
        <v>8</v>
      </c>
      <c r="D107" s="3" t="s">
        <v>34</v>
      </c>
      <c r="E107" s="3" t="s">
        <v>24</v>
      </c>
      <c r="F107" s="3" t="n">
        <v>1</v>
      </c>
      <c r="G107" s="4" t="n">
        <v>18500</v>
      </c>
      <c r="H107" s="4" t="n">
        <f aca="false">F107*G107</f>
        <v>18500</v>
      </c>
    </row>
    <row r="108" customFormat="false" ht="15" hidden="false" customHeight="false" outlineLevel="0" collapsed="false">
      <c r="A108" s="3" t="s">
        <v>154</v>
      </c>
      <c r="B108" s="3" t="s">
        <v>155</v>
      </c>
      <c r="C108" s="3" t="s">
        <v>8</v>
      </c>
      <c r="D108" s="3" t="s">
        <v>34</v>
      </c>
      <c r="E108" s="3" t="s">
        <v>24</v>
      </c>
      <c r="F108" s="3" t="n">
        <v>1</v>
      </c>
      <c r="G108" s="4" t="n">
        <v>18500</v>
      </c>
      <c r="H108" s="4" t="n">
        <f aca="false">F108*G108</f>
        <v>18500</v>
      </c>
    </row>
    <row r="109" customFormat="false" ht="15" hidden="false" customHeight="false" outlineLevel="0" collapsed="false">
      <c r="A109" s="3" t="s">
        <v>156</v>
      </c>
      <c r="B109" s="3" t="s">
        <v>155</v>
      </c>
      <c r="C109" s="3" t="s">
        <v>8</v>
      </c>
      <c r="D109" s="3" t="s">
        <v>26</v>
      </c>
      <c r="E109" s="3" t="s">
        <v>27</v>
      </c>
      <c r="F109" s="3" t="n">
        <v>2</v>
      </c>
      <c r="G109" s="4" t="n">
        <v>2500</v>
      </c>
      <c r="H109" s="4" t="n">
        <f aca="false">F109*G109</f>
        <v>5000</v>
      </c>
    </row>
    <row r="110" customFormat="false" ht="15" hidden="false" customHeight="false" outlineLevel="0" collapsed="false">
      <c r="A110" s="3" t="s">
        <v>157</v>
      </c>
      <c r="B110" s="3" t="s">
        <v>155</v>
      </c>
      <c r="C110" s="3" t="s">
        <v>11</v>
      </c>
      <c r="D110" s="3" t="s">
        <v>34</v>
      </c>
      <c r="E110" s="3" t="s">
        <v>24</v>
      </c>
      <c r="F110" s="3" t="n">
        <v>1</v>
      </c>
      <c r="G110" s="4" t="n">
        <v>18500</v>
      </c>
      <c r="H110" s="4" t="n">
        <f aca="false">F110*G110</f>
        <v>18500</v>
      </c>
    </row>
    <row r="111" customFormat="false" ht="15" hidden="false" customHeight="false" outlineLevel="0" collapsed="false">
      <c r="A111" s="3" t="s">
        <v>158</v>
      </c>
      <c r="B111" s="3" t="s">
        <v>155</v>
      </c>
      <c r="C111" s="3" t="s">
        <v>8</v>
      </c>
      <c r="D111" s="3" t="s">
        <v>34</v>
      </c>
      <c r="E111" s="3" t="s">
        <v>27</v>
      </c>
      <c r="F111" s="3" t="n">
        <v>2</v>
      </c>
      <c r="G111" s="4" t="n">
        <v>18500</v>
      </c>
      <c r="H111" s="4" t="n">
        <f aca="false">F111*G111</f>
        <v>37000</v>
      </c>
    </row>
    <row r="112" customFormat="false" ht="15" hidden="false" customHeight="false" outlineLevel="0" collapsed="false">
      <c r="A112" s="3" t="s">
        <v>159</v>
      </c>
      <c r="B112" s="3" t="s">
        <v>155</v>
      </c>
      <c r="C112" s="3" t="s">
        <v>6</v>
      </c>
      <c r="D112" s="3" t="s">
        <v>29</v>
      </c>
      <c r="E112" s="3" t="s">
        <v>24</v>
      </c>
      <c r="F112" s="3" t="n">
        <v>2</v>
      </c>
      <c r="G112" s="4" t="n">
        <v>45000</v>
      </c>
      <c r="H112" s="4" t="n">
        <f aca="false">F112*G112</f>
        <v>90000</v>
      </c>
    </row>
    <row r="113" customFormat="false" ht="15" hidden="false" customHeight="false" outlineLevel="0" collapsed="false">
      <c r="A113" s="3" t="s">
        <v>160</v>
      </c>
      <c r="B113" s="3" t="s">
        <v>155</v>
      </c>
      <c r="C113" s="3" t="s">
        <v>11</v>
      </c>
      <c r="D113" s="3" t="s">
        <v>34</v>
      </c>
      <c r="E113" s="3" t="s">
        <v>24</v>
      </c>
      <c r="F113" s="3" t="n">
        <v>1</v>
      </c>
      <c r="G113" s="4" t="n">
        <v>18500</v>
      </c>
      <c r="H113" s="4" t="n">
        <f aca="false">F113*G113</f>
        <v>18500</v>
      </c>
    </row>
    <row r="114" customFormat="false" ht="15" hidden="false" customHeight="false" outlineLevel="0" collapsed="false">
      <c r="A114" s="3" t="s">
        <v>161</v>
      </c>
      <c r="B114" s="3" t="s">
        <v>155</v>
      </c>
      <c r="C114" s="3" t="s">
        <v>6</v>
      </c>
      <c r="D114" s="3" t="s">
        <v>29</v>
      </c>
      <c r="E114" s="3" t="s">
        <v>24</v>
      </c>
      <c r="F114" s="3" t="n">
        <v>1</v>
      </c>
      <c r="G114" s="4" t="n">
        <v>45000</v>
      </c>
      <c r="H114" s="4" t="n">
        <f aca="false">F114*G114</f>
        <v>45000</v>
      </c>
    </row>
    <row r="115" customFormat="false" ht="15" hidden="false" customHeight="false" outlineLevel="0" collapsed="false">
      <c r="A115" s="3" t="s">
        <v>162</v>
      </c>
      <c r="B115" s="3" t="s">
        <v>155</v>
      </c>
      <c r="C115" s="3" t="s">
        <v>12</v>
      </c>
      <c r="D115" s="3" t="s">
        <v>26</v>
      </c>
      <c r="E115" s="3" t="s">
        <v>27</v>
      </c>
      <c r="F115" s="3" t="n">
        <v>4</v>
      </c>
      <c r="G115" s="4" t="n">
        <v>2500</v>
      </c>
      <c r="H115" s="4" t="n">
        <f aca="false">F115*G115</f>
        <v>10000</v>
      </c>
    </row>
    <row r="116" customFormat="false" ht="15" hidden="false" customHeight="false" outlineLevel="0" collapsed="false">
      <c r="A116" s="3" t="s">
        <v>163</v>
      </c>
      <c r="B116" s="3" t="s">
        <v>164</v>
      </c>
      <c r="C116" s="3" t="s">
        <v>12</v>
      </c>
      <c r="D116" s="3" t="s">
        <v>40</v>
      </c>
      <c r="E116" s="3" t="s">
        <v>27</v>
      </c>
      <c r="F116" s="3" t="n">
        <v>1</v>
      </c>
      <c r="G116" s="4" t="n">
        <v>28000</v>
      </c>
      <c r="H116" s="4" t="n">
        <f aca="false">F116*G116</f>
        <v>28000</v>
      </c>
    </row>
    <row r="117" customFormat="false" ht="15" hidden="false" customHeight="false" outlineLevel="0" collapsed="false">
      <c r="A117" s="3" t="s">
        <v>165</v>
      </c>
      <c r="B117" s="3" t="s">
        <v>164</v>
      </c>
      <c r="C117" s="3" t="s">
        <v>6</v>
      </c>
      <c r="D117" s="3" t="s">
        <v>40</v>
      </c>
      <c r="E117" s="3" t="s">
        <v>27</v>
      </c>
      <c r="F117" s="3" t="n">
        <v>2</v>
      </c>
      <c r="G117" s="4" t="n">
        <v>28000</v>
      </c>
      <c r="H117" s="4" t="n">
        <f aca="false">F117*G117</f>
        <v>56000</v>
      </c>
    </row>
    <row r="118" customFormat="false" ht="15" hidden="false" customHeight="false" outlineLevel="0" collapsed="false">
      <c r="A118" s="3" t="s">
        <v>166</v>
      </c>
      <c r="B118" s="3" t="s">
        <v>164</v>
      </c>
      <c r="C118" s="3" t="s">
        <v>6</v>
      </c>
      <c r="D118" s="3" t="s">
        <v>23</v>
      </c>
      <c r="E118" s="3" t="s">
        <v>24</v>
      </c>
      <c r="F118" s="3" t="n">
        <v>1</v>
      </c>
      <c r="G118" s="4" t="n">
        <v>6500</v>
      </c>
      <c r="H118" s="4" t="n">
        <f aca="false">F118*G118</f>
        <v>6500</v>
      </c>
    </row>
    <row r="119" customFormat="false" ht="15" hidden="false" customHeight="false" outlineLevel="0" collapsed="false">
      <c r="A119" s="3" t="s">
        <v>167</v>
      </c>
      <c r="B119" s="3" t="s">
        <v>168</v>
      </c>
      <c r="C119" s="3" t="s">
        <v>6</v>
      </c>
      <c r="D119" s="3" t="s">
        <v>40</v>
      </c>
      <c r="E119" s="3" t="s">
        <v>24</v>
      </c>
      <c r="F119" s="3" t="n">
        <v>2</v>
      </c>
      <c r="G119" s="4" t="n">
        <v>28000</v>
      </c>
      <c r="H119" s="4" t="n">
        <f aca="false">F119*G119</f>
        <v>56000</v>
      </c>
    </row>
    <row r="120" customFormat="false" ht="15" hidden="false" customHeight="false" outlineLevel="0" collapsed="false">
      <c r="A120" s="3" t="s">
        <v>169</v>
      </c>
      <c r="B120" s="3" t="s">
        <v>168</v>
      </c>
      <c r="C120" s="3" t="s">
        <v>6</v>
      </c>
      <c r="D120" s="3" t="s">
        <v>31</v>
      </c>
      <c r="E120" s="3" t="s">
        <v>24</v>
      </c>
      <c r="F120" s="3" t="n">
        <v>1</v>
      </c>
      <c r="G120" s="4" t="n">
        <v>62000</v>
      </c>
      <c r="H120" s="4" t="n">
        <f aca="false">F120*G120</f>
        <v>62000</v>
      </c>
    </row>
    <row r="121" customFormat="false" ht="15" hidden="false" customHeight="false" outlineLevel="0" collapsed="false">
      <c r="A121" s="3" t="s">
        <v>170</v>
      </c>
      <c r="B121" s="3" t="s">
        <v>168</v>
      </c>
      <c r="C121" s="3" t="s">
        <v>11</v>
      </c>
      <c r="D121" s="3" t="s">
        <v>29</v>
      </c>
      <c r="E121" s="3" t="s">
        <v>24</v>
      </c>
      <c r="F121" s="3" t="n">
        <v>2</v>
      </c>
      <c r="G121" s="4" t="n">
        <v>45000</v>
      </c>
      <c r="H121" s="4" t="n">
        <f aca="false">F121*G121</f>
        <v>90000</v>
      </c>
    </row>
    <row r="122" customFormat="false" ht="15" hidden="false" customHeight="false" outlineLevel="0" collapsed="false">
      <c r="A122" s="3" t="s">
        <v>171</v>
      </c>
      <c r="B122" s="3" t="s">
        <v>168</v>
      </c>
      <c r="C122" s="3" t="s">
        <v>10</v>
      </c>
      <c r="D122" s="3" t="s">
        <v>26</v>
      </c>
      <c r="E122" s="3" t="s">
        <v>24</v>
      </c>
      <c r="F122" s="3" t="n">
        <v>3</v>
      </c>
      <c r="G122" s="4" t="n">
        <v>2500</v>
      </c>
      <c r="H122" s="4" t="n">
        <f aca="false">F122*G122</f>
        <v>7500</v>
      </c>
    </row>
    <row r="123" customFormat="false" ht="15" hidden="false" customHeight="false" outlineLevel="0" collapsed="false">
      <c r="A123" s="3" t="s">
        <v>172</v>
      </c>
      <c r="B123" s="3" t="s">
        <v>168</v>
      </c>
      <c r="C123" s="3" t="s">
        <v>12</v>
      </c>
      <c r="D123" s="3" t="s">
        <v>23</v>
      </c>
      <c r="E123" s="3" t="s">
        <v>27</v>
      </c>
      <c r="F123" s="3" t="n">
        <v>1</v>
      </c>
      <c r="G123" s="4" t="n">
        <v>6500</v>
      </c>
      <c r="H123" s="4" t="n">
        <f aca="false">F123*G123</f>
        <v>6500</v>
      </c>
    </row>
    <row r="124" customFormat="false" ht="15" hidden="false" customHeight="false" outlineLevel="0" collapsed="false">
      <c r="A124" s="3" t="s">
        <v>173</v>
      </c>
      <c r="B124" s="3" t="s">
        <v>168</v>
      </c>
      <c r="C124" s="3" t="s">
        <v>8</v>
      </c>
      <c r="D124" s="3" t="s">
        <v>31</v>
      </c>
      <c r="E124" s="3" t="s">
        <v>24</v>
      </c>
      <c r="F124" s="3" t="n">
        <v>1</v>
      </c>
      <c r="G124" s="4" t="n">
        <v>62000</v>
      </c>
      <c r="H124" s="4" t="n">
        <f aca="false">F124*G124</f>
        <v>62000</v>
      </c>
    </row>
    <row r="125" customFormat="false" ht="15" hidden="false" customHeight="false" outlineLevel="0" collapsed="false">
      <c r="A125" s="3" t="s">
        <v>174</v>
      </c>
      <c r="B125" s="3" t="s">
        <v>168</v>
      </c>
      <c r="C125" s="3" t="s">
        <v>10</v>
      </c>
      <c r="D125" s="3" t="s">
        <v>40</v>
      </c>
      <c r="E125" s="3" t="s">
        <v>24</v>
      </c>
      <c r="F125" s="3" t="n">
        <v>1</v>
      </c>
      <c r="G125" s="4" t="n">
        <v>28000</v>
      </c>
      <c r="H125" s="4" t="n">
        <f aca="false">F125*G125</f>
        <v>28000</v>
      </c>
    </row>
    <row r="126" customFormat="false" ht="15" hidden="false" customHeight="false" outlineLevel="0" collapsed="false">
      <c r="A126" s="3" t="s">
        <v>175</v>
      </c>
      <c r="B126" s="3" t="s">
        <v>176</v>
      </c>
      <c r="C126" s="3" t="s">
        <v>8</v>
      </c>
      <c r="D126" s="3" t="s">
        <v>40</v>
      </c>
      <c r="E126" s="3" t="s">
        <v>24</v>
      </c>
      <c r="F126" s="3" t="n">
        <v>2</v>
      </c>
      <c r="G126" s="4" t="n">
        <v>28000</v>
      </c>
      <c r="H126" s="4" t="n">
        <f aca="false">F126*G126</f>
        <v>56000</v>
      </c>
    </row>
    <row r="127" customFormat="false" ht="15" hidden="false" customHeight="false" outlineLevel="0" collapsed="false">
      <c r="A127" s="3" t="s">
        <v>177</v>
      </c>
      <c r="B127" s="3" t="s">
        <v>176</v>
      </c>
      <c r="C127" s="3" t="s">
        <v>12</v>
      </c>
      <c r="D127" s="3" t="s">
        <v>40</v>
      </c>
      <c r="E127" s="3" t="s">
        <v>24</v>
      </c>
      <c r="F127" s="3" t="n">
        <v>2</v>
      </c>
      <c r="G127" s="4" t="n">
        <v>28000</v>
      </c>
      <c r="H127" s="4" t="n">
        <f aca="false">F127*G127</f>
        <v>56000</v>
      </c>
    </row>
    <row r="128" customFormat="false" ht="15" hidden="false" customHeight="false" outlineLevel="0" collapsed="false">
      <c r="A128" s="3" t="s">
        <v>178</v>
      </c>
      <c r="B128" s="3" t="s">
        <v>176</v>
      </c>
      <c r="C128" s="3" t="s">
        <v>8</v>
      </c>
      <c r="D128" s="3" t="s">
        <v>26</v>
      </c>
      <c r="E128" s="3" t="s">
        <v>24</v>
      </c>
      <c r="F128" s="3" t="n">
        <v>4</v>
      </c>
      <c r="G128" s="4" t="n">
        <v>2500</v>
      </c>
      <c r="H128" s="4" t="n">
        <f aca="false">F128*G128</f>
        <v>10000</v>
      </c>
    </row>
    <row r="129" customFormat="false" ht="15" hidden="false" customHeight="false" outlineLevel="0" collapsed="false">
      <c r="A129" s="3" t="s">
        <v>179</v>
      </c>
      <c r="B129" s="3" t="s">
        <v>180</v>
      </c>
      <c r="C129" s="3" t="s">
        <v>10</v>
      </c>
      <c r="D129" s="3" t="s">
        <v>26</v>
      </c>
      <c r="E129" s="3" t="s">
        <v>24</v>
      </c>
      <c r="F129" s="3" t="n">
        <v>2</v>
      </c>
      <c r="G129" s="4" t="n">
        <v>2500</v>
      </c>
      <c r="H129" s="4" t="n">
        <f aca="false">F129*G129</f>
        <v>5000</v>
      </c>
    </row>
    <row r="130" customFormat="false" ht="15" hidden="false" customHeight="false" outlineLevel="0" collapsed="false">
      <c r="A130" s="3" t="s">
        <v>181</v>
      </c>
      <c r="B130" s="3" t="s">
        <v>180</v>
      </c>
      <c r="C130" s="3" t="s">
        <v>8</v>
      </c>
      <c r="D130" s="3" t="s">
        <v>26</v>
      </c>
      <c r="E130" s="3" t="s">
        <v>24</v>
      </c>
      <c r="F130" s="3" t="n">
        <v>2</v>
      </c>
      <c r="G130" s="4" t="n">
        <v>2500</v>
      </c>
      <c r="H130" s="4" t="n">
        <f aca="false">F130*G130</f>
        <v>5000</v>
      </c>
    </row>
    <row r="131" customFormat="false" ht="15" hidden="false" customHeight="false" outlineLevel="0" collapsed="false">
      <c r="A131" s="3" t="s">
        <v>182</v>
      </c>
      <c r="B131" s="3" t="s">
        <v>180</v>
      </c>
      <c r="C131" s="3" t="s">
        <v>10</v>
      </c>
      <c r="D131" s="3" t="s">
        <v>23</v>
      </c>
      <c r="E131" s="3" t="s">
        <v>27</v>
      </c>
      <c r="F131" s="3" t="n">
        <v>5</v>
      </c>
      <c r="G131" s="4" t="n">
        <v>6500</v>
      </c>
      <c r="H131" s="4" t="n">
        <f aca="false">F131*G131</f>
        <v>32500</v>
      </c>
    </row>
    <row r="132" customFormat="false" ht="15" hidden="false" customHeight="false" outlineLevel="0" collapsed="false">
      <c r="A132" s="3" t="s">
        <v>183</v>
      </c>
      <c r="B132" s="3" t="s">
        <v>180</v>
      </c>
      <c r="C132" s="3" t="s">
        <v>11</v>
      </c>
      <c r="D132" s="3" t="s">
        <v>26</v>
      </c>
      <c r="E132" s="3" t="s">
        <v>24</v>
      </c>
      <c r="F132" s="3" t="n">
        <v>1</v>
      </c>
      <c r="G132" s="4" t="n">
        <v>2500</v>
      </c>
      <c r="H132" s="4" t="n">
        <f aca="false">F132*G132</f>
        <v>2500</v>
      </c>
    </row>
    <row r="133" customFormat="false" ht="15" hidden="false" customHeight="false" outlineLevel="0" collapsed="false">
      <c r="A133" s="3" t="s">
        <v>184</v>
      </c>
      <c r="B133" s="3" t="s">
        <v>180</v>
      </c>
      <c r="C133" s="3" t="s">
        <v>6</v>
      </c>
      <c r="D133" s="3" t="s">
        <v>31</v>
      </c>
      <c r="E133" s="3" t="s">
        <v>24</v>
      </c>
      <c r="F133" s="3" t="n">
        <v>1</v>
      </c>
      <c r="G133" s="4" t="n">
        <v>62000</v>
      </c>
      <c r="H133" s="4" t="n">
        <f aca="false">F133*G133</f>
        <v>62000</v>
      </c>
    </row>
    <row r="134" customFormat="false" ht="15" hidden="false" customHeight="false" outlineLevel="0" collapsed="false">
      <c r="A134" s="3" t="s">
        <v>185</v>
      </c>
      <c r="B134" s="3" t="s">
        <v>180</v>
      </c>
      <c r="C134" s="3" t="s">
        <v>8</v>
      </c>
      <c r="D134" s="3" t="s">
        <v>23</v>
      </c>
      <c r="E134" s="3" t="s">
        <v>24</v>
      </c>
      <c r="F134" s="3" t="n">
        <v>5</v>
      </c>
      <c r="G134" s="4" t="n">
        <v>6500</v>
      </c>
      <c r="H134" s="4" t="n">
        <f aca="false">F134*G134</f>
        <v>32500</v>
      </c>
    </row>
    <row r="135" customFormat="false" ht="15" hidden="false" customHeight="false" outlineLevel="0" collapsed="false">
      <c r="A135" s="3" t="s">
        <v>186</v>
      </c>
      <c r="B135" s="3" t="s">
        <v>180</v>
      </c>
      <c r="C135" s="3" t="s">
        <v>11</v>
      </c>
      <c r="D135" s="3" t="s">
        <v>26</v>
      </c>
      <c r="E135" s="3" t="s">
        <v>27</v>
      </c>
      <c r="F135" s="3" t="n">
        <v>1</v>
      </c>
      <c r="G135" s="4" t="n">
        <v>2500</v>
      </c>
      <c r="H135" s="4" t="n">
        <f aca="false">F135*G135</f>
        <v>2500</v>
      </c>
    </row>
    <row r="136" customFormat="false" ht="15" hidden="false" customHeight="false" outlineLevel="0" collapsed="false">
      <c r="A136" s="3" t="s">
        <v>187</v>
      </c>
      <c r="B136" s="3" t="s">
        <v>180</v>
      </c>
      <c r="C136" s="3" t="s">
        <v>8</v>
      </c>
      <c r="D136" s="3" t="s">
        <v>34</v>
      </c>
      <c r="E136" s="3" t="s">
        <v>24</v>
      </c>
      <c r="F136" s="3" t="n">
        <v>1</v>
      </c>
      <c r="G136" s="4" t="n">
        <v>18500</v>
      </c>
      <c r="H136" s="4" t="n">
        <f aca="false">F136*G136</f>
        <v>18500</v>
      </c>
    </row>
    <row r="137" customFormat="false" ht="15" hidden="false" customHeight="false" outlineLevel="0" collapsed="false">
      <c r="A137" s="3" t="s">
        <v>188</v>
      </c>
      <c r="B137" s="3" t="s">
        <v>189</v>
      </c>
      <c r="C137" s="3" t="s">
        <v>6</v>
      </c>
      <c r="D137" s="3" t="s">
        <v>26</v>
      </c>
      <c r="E137" s="3" t="s">
        <v>27</v>
      </c>
      <c r="F137" s="3" t="n">
        <v>3</v>
      </c>
      <c r="G137" s="4" t="n">
        <v>2500</v>
      </c>
      <c r="H137" s="4" t="n">
        <f aca="false">F137*G137</f>
        <v>7500</v>
      </c>
    </row>
    <row r="138" customFormat="false" ht="15" hidden="false" customHeight="false" outlineLevel="0" collapsed="false">
      <c r="A138" s="3" t="s">
        <v>190</v>
      </c>
      <c r="B138" s="3" t="s">
        <v>189</v>
      </c>
      <c r="C138" s="3" t="s">
        <v>10</v>
      </c>
      <c r="D138" s="3" t="s">
        <v>34</v>
      </c>
      <c r="E138" s="3" t="s">
        <v>24</v>
      </c>
      <c r="F138" s="3" t="n">
        <v>1</v>
      </c>
      <c r="G138" s="4" t="n">
        <v>18500</v>
      </c>
      <c r="H138" s="4" t="n">
        <f aca="false">F138*G138</f>
        <v>18500</v>
      </c>
    </row>
    <row r="139" customFormat="false" ht="15" hidden="false" customHeight="false" outlineLevel="0" collapsed="false">
      <c r="A139" s="3" t="s">
        <v>191</v>
      </c>
      <c r="B139" s="3" t="s">
        <v>189</v>
      </c>
      <c r="C139" s="3" t="s">
        <v>8</v>
      </c>
      <c r="D139" s="3" t="s">
        <v>34</v>
      </c>
      <c r="E139" s="3" t="s">
        <v>24</v>
      </c>
      <c r="F139" s="3" t="n">
        <v>2</v>
      </c>
      <c r="G139" s="4" t="n">
        <v>18500</v>
      </c>
      <c r="H139" s="4" t="n">
        <f aca="false">F139*G139</f>
        <v>37000</v>
      </c>
    </row>
    <row r="140" customFormat="false" ht="15" hidden="false" customHeight="false" outlineLevel="0" collapsed="false">
      <c r="A140" s="3" t="s">
        <v>192</v>
      </c>
      <c r="B140" s="3" t="s">
        <v>189</v>
      </c>
      <c r="C140" s="3" t="s">
        <v>6</v>
      </c>
      <c r="D140" s="3" t="s">
        <v>40</v>
      </c>
      <c r="E140" s="3" t="s">
        <v>24</v>
      </c>
      <c r="F140" s="3" t="n">
        <v>2</v>
      </c>
      <c r="G140" s="4" t="n">
        <v>28000</v>
      </c>
      <c r="H140" s="4" t="n">
        <f aca="false">F140*G140</f>
        <v>56000</v>
      </c>
    </row>
    <row r="141" customFormat="false" ht="15" hidden="false" customHeight="false" outlineLevel="0" collapsed="false">
      <c r="A141" s="3" t="s">
        <v>193</v>
      </c>
      <c r="B141" s="3" t="s">
        <v>189</v>
      </c>
      <c r="C141" s="3" t="s">
        <v>12</v>
      </c>
      <c r="D141" s="3" t="s">
        <v>23</v>
      </c>
      <c r="E141" s="3" t="s">
        <v>24</v>
      </c>
      <c r="F141" s="3" t="n">
        <v>2</v>
      </c>
      <c r="G141" s="4" t="n">
        <v>6500</v>
      </c>
      <c r="H141" s="4" t="n">
        <f aca="false">F141*G141</f>
        <v>13000</v>
      </c>
    </row>
    <row r="142" customFormat="false" ht="15" hidden="false" customHeight="false" outlineLevel="0" collapsed="false">
      <c r="A142" s="3" t="s">
        <v>194</v>
      </c>
      <c r="B142" s="3" t="s">
        <v>195</v>
      </c>
      <c r="C142" s="3" t="s">
        <v>10</v>
      </c>
      <c r="D142" s="3" t="s">
        <v>34</v>
      </c>
      <c r="E142" s="3" t="s">
        <v>24</v>
      </c>
      <c r="F142" s="3" t="n">
        <v>1</v>
      </c>
      <c r="G142" s="4" t="n">
        <v>18500</v>
      </c>
      <c r="H142" s="4" t="n">
        <f aca="false">F142*G142</f>
        <v>18500</v>
      </c>
    </row>
    <row r="143" customFormat="false" ht="15" hidden="false" customHeight="false" outlineLevel="0" collapsed="false">
      <c r="A143" s="3" t="s">
        <v>196</v>
      </c>
      <c r="B143" s="3" t="s">
        <v>195</v>
      </c>
      <c r="C143" s="3" t="s">
        <v>8</v>
      </c>
      <c r="D143" s="3" t="s">
        <v>26</v>
      </c>
      <c r="E143" s="3" t="s">
        <v>27</v>
      </c>
      <c r="F143" s="3" t="n">
        <v>4</v>
      </c>
      <c r="G143" s="4" t="n">
        <v>2500</v>
      </c>
      <c r="H143" s="4" t="n">
        <f aca="false">F143*G143</f>
        <v>10000</v>
      </c>
    </row>
    <row r="144" customFormat="false" ht="15" hidden="false" customHeight="false" outlineLevel="0" collapsed="false">
      <c r="A144" s="3" t="s">
        <v>197</v>
      </c>
      <c r="B144" s="3" t="s">
        <v>195</v>
      </c>
      <c r="C144" s="3" t="s">
        <v>6</v>
      </c>
      <c r="D144" s="3" t="s">
        <v>23</v>
      </c>
      <c r="E144" s="3" t="s">
        <v>27</v>
      </c>
      <c r="F144" s="3" t="n">
        <v>1</v>
      </c>
      <c r="G144" s="4" t="n">
        <v>6500</v>
      </c>
      <c r="H144" s="4" t="n">
        <f aca="false">F144*G144</f>
        <v>6500</v>
      </c>
    </row>
    <row r="145" customFormat="false" ht="15" hidden="false" customHeight="false" outlineLevel="0" collapsed="false">
      <c r="A145" s="3" t="s">
        <v>198</v>
      </c>
      <c r="B145" s="3" t="s">
        <v>195</v>
      </c>
      <c r="C145" s="3" t="s">
        <v>11</v>
      </c>
      <c r="D145" s="3" t="s">
        <v>31</v>
      </c>
      <c r="E145" s="3" t="s">
        <v>24</v>
      </c>
      <c r="F145" s="3" t="n">
        <v>2</v>
      </c>
      <c r="G145" s="4" t="n">
        <v>62000</v>
      </c>
      <c r="H145" s="4" t="n">
        <f aca="false">F145*G145</f>
        <v>124000</v>
      </c>
    </row>
    <row r="146" customFormat="false" ht="15" hidden="false" customHeight="false" outlineLevel="0" collapsed="false">
      <c r="A146" s="3" t="s">
        <v>199</v>
      </c>
      <c r="B146" s="3" t="s">
        <v>200</v>
      </c>
      <c r="C146" s="3" t="s">
        <v>12</v>
      </c>
      <c r="D146" s="3" t="s">
        <v>23</v>
      </c>
      <c r="E146" s="3" t="s">
        <v>27</v>
      </c>
      <c r="F146" s="3" t="n">
        <v>3</v>
      </c>
      <c r="G146" s="4" t="n">
        <v>6500</v>
      </c>
      <c r="H146" s="4" t="n">
        <f aca="false">F146*G146</f>
        <v>19500</v>
      </c>
    </row>
    <row r="147" customFormat="false" ht="15" hidden="false" customHeight="false" outlineLevel="0" collapsed="false">
      <c r="A147" s="3" t="s">
        <v>201</v>
      </c>
      <c r="B147" s="3" t="s">
        <v>200</v>
      </c>
      <c r="C147" s="3" t="s">
        <v>8</v>
      </c>
      <c r="D147" s="3" t="s">
        <v>23</v>
      </c>
      <c r="E147" s="3" t="s">
        <v>27</v>
      </c>
      <c r="F147" s="3" t="n">
        <v>5</v>
      </c>
      <c r="G147" s="4" t="n">
        <v>6500</v>
      </c>
      <c r="H147" s="4" t="n">
        <f aca="false">F147*G147</f>
        <v>32500</v>
      </c>
    </row>
    <row r="148" customFormat="false" ht="15" hidden="false" customHeight="false" outlineLevel="0" collapsed="false">
      <c r="A148" s="3" t="s">
        <v>202</v>
      </c>
      <c r="B148" s="3" t="s">
        <v>200</v>
      </c>
      <c r="C148" s="3" t="s">
        <v>6</v>
      </c>
      <c r="D148" s="3" t="s">
        <v>40</v>
      </c>
      <c r="E148" s="3" t="s">
        <v>27</v>
      </c>
      <c r="F148" s="3" t="n">
        <v>2</v>
      </c>
      <c r="G148" s="4" t="n">
        <v>28000</v>
      </c>
      <c r="H148" s="4" t="n">
        <f aca="false">F148*G148</f>
        <v>56000</v>
      </c>
    </row>
    <row r="149" customFormat="false" ht="15" hidden="false" customHeight="false" outlineLevel="0" collapsed="false">
      <c r="A149" s="3" t="s">
        <v>203</v>
      </c>
      <c r="B149" s="3" t="s">
        <v>200</v>
      </c>
      <c r="C149" s="3" t="s">
        <v>10</v>
      </c>
      <c r="D149" s="3" t="s">
        <v>34</v>
      </c>
      <c r="E149" s="3" t="s">
        <v>27</v>
      </c>
      <c r="F149" s="3" t="n">
        <v>1</v>
      </c>
      <c r="G149" s="4" t="n">
        <v>18500</v>
      </c>
      <c r="H149" s="4" t="n">
        <f aca="false">F149*G149</f>
        <v>18500</v>
      </c>
    </row>
    <row r="150" customFormat="false" ht="15" hidden="false" customHeight="false" outlineLevel="0" collapsed="false">
      <c r="A150" s="3" t="s">
        <v>204</v>
      </c>
      <c r="B150" s="3" t="s">
        <v>200</v>
      </c>
      <c r="C150" s="3" t="s">
        <v>6</v>
      </c>
      <c r="D150" s="3" t="s">
        <v>29</v>
      </c>
      <c r="E150" s="3" t="s">
        <v>24</v>
      </c>
      <c r="F150" s="3" t="n">
        <v>1</v>
      </c>
      <c r="G150" s="4" t="n">
        <v>45000</v>
      </c>
      <c r="H150" s="4" t="n">
        <f aca="false">F150*G150</f>
        <v>45000</v>
      </c>
    </row>
    <row r="151" customFormat="false" ht="15" hidden="false" customHeight="false" outlineLevel="0" collapsed="false">
      <c r="A151" s="3" t="s">
        <v>205</v>
      </c>
      <c r="B151" s="3" t="s">
        <v>200</v>
      </c>
      <c r="C151" s="3" t="s">
        <v>6</v>
      </c>
      <c r="D151" s="3" t="s">
        <v>23</v>
      </c>
      <c r="E151" s="3" t="s">
        <v>27</v>
      </c>
      <c r="F151" s="3" t="n">
        <v>3</v>
      </c>
      <c r="G151" s="4" t="n">
        <v>6500</v>
      </c>
      <c r="H151" s="4" t="n">
        <f aca="false">F151*G151</f>
        <v>19500</v>
      </c>
    </row>
    <row r="152" customFormat="false" ht="15" hidden="false" customHeight="false" outlineLevel="0" collapsed="false">
      <c r="A152" s="3" t="s">
        <v>206</v>
      </c>
      <c r="B152" s="3" t="s">
        <v>200</v>
      </c>
      <c r="C152" s="3" t="s">
        <v>6</v>
      </c>
      <c r="D152" s="3" t="s">
        <v>34</v>
      </c>
      <c r="E152" s="3" t="s">
        <v>27</v>
      </c>
      <c r="F152" s="3" t="n">
        <v>2</v>
      </c>
      <c r="G152" s="4" t="n">
        <v>18500</v>
      </c>
      <c r="H152" s="4" t="n">
        <f aca="false">F152*G152</f>
        <v>37000</v>
      </c>
    </row>
    <row r="153" customFormat="false" ht="15" hidden="false" customHeight="false" outlineLevel="0" collapsed="false">
      <c r="A153" s="3" t="s">
        <v>207</v>
      </c>
      <c r="B153" s="3" t="s">
        <v>200</v>
      </c>
      <c r="C153" s="3" t="s">
        <v>6</v>
      </c>
      <c r="D153" s="3" t="s">
        <v>29</v>
      </c>
      <c r="E153" s="3" t="s">
        <v>24</v>
      </c>
      <c r="F153" s="3" t="n">
        <v>1</v>
      </c>
      <c r="G153" s="4" t="n">
        <v>45000</v>
      </c>
      <c r="H153" s="4" t="n">
        <f aca="false">F153*G153</f>
        <v>45000</v>
      </c>
    </row>
    <row r="154" customFormat="false" ht="15" hidden="false" customHeight="false" outlineLevel="0" collapsed="false">
      <c r="A154" s="3" t="s">
        <v>208</v>
      </c>
      <c r="B154" s="3" t="s">
        <v>200</v>
      </c>
      <c r="C154" s="3" t="s">
        <v>8</v>
      </c>
      <c r="D154" s="3" t="s">
        <v>40</v>
      </c>
      <c r="E154" s="3" t="s">
        <v>24</v>
      </c>
      <c r="F154" s="3" t="n">
        <v>1</v>
      </c>
      <c r="G154" s="4" t="n">
        <v>28000</v>
      </c>
      <c r="H154" s="4" t="n">
        <f aca="false">F154*G154</f>
        <v>28000</v>
      </c>
    </row>
    <row r="155" customFormat="false" ht="15" hidden="false" customHeight="false" outlineLevel="0" collapsed="false">
      <c r="A155" s="3" t="s">
        <v>209</v>
      </c>
      <c r="B155" s="3" t="s">
        <v>210</v>
      </c>
      <c r="C155" s="3" t="s">
        <v>8</v>
      </c>
      <c r="D155" s="3" t="s">
        <v>23</v>
      </c>
      <c r="E155" s="3" t="s">
        <v>24</v>
      </c>
      <c r="F155" s="3" t="n">
        <v>5</v>
      </c>
      <c r="G155" s="4" t="n">
        <v>6500</v>
      </c>
      <c r="H155" s="4" t="n">
        <f aca="false">F155*G155</f>
        <v>32500</v>
      </c>
    </row>
    <row r="156" customFormat="false" ht="15" hidden="false" customHeight="false" outlineLevel="0" collapsed="false">
      <c r="A156" s="3" t="s">
        <v>211</v>
      </c>
      <c r="B156" s="3" t="s">
        <v>210</v>
      </c>
      <c r="C156" s="3" t="s">
        <v>6</v>
      </c>
      <c r="D156" s="3" t="s">
        <v>34</v>
      </c>
      <c r="E156" s="3" t="s">
        <v>27</v>
      </c>
      <c r="F156" s="3" t="n">
        <v>1</v>
      </c>
      <c r="G156" s="4" t="n">
        <v>18500</v>
      </c>
      <c r="H156" s="4" t="n">
        <f aca="false">F156*G156</f>
        <v>18500</v>
      </c>
    </row>
    <row r="157" customFormat="false" ht="15" hidden="false" customHeight="false" outlineLevel="0" collapsed="false">
      <c r="A157" s="3" t="s">
        <v>212</v>
      </c>
      <c r="B157" s="3" t="s">
        <v>210</v>
      </c>
      <c r="C157" s="3" t="s">
        <v>10</v>
      </c>
      <c r="D157" s="3" t="s">
        <v>34</v>
      </c>
      <c r="E157" s="3" t="s">
        <v>24</v>
      </c>
      <c r="F157" s="3" t="n">
        <v>1</v>
      </c>
      <c r="G157" s="4" t="n">
        <v>18500</v>
      </c>
      <c r="H157" s="4" t="n">
        <f aca="false">F157*G157</f>
        <v>18500</v>
      </c>
    </row>
    <row r="158" customFormat="false" ht="15" hidden="false" customHeight="false" outlineLevel="0" collapsed="false">
      <c r="A158" s="3" t="s">
        <v>213</v>
      </c>
      <c r="B158" s="3" t="s">
        <v>210</v>
      </c>
      <c r="C158" s="3" t="s">
        <v>8</v>
      </c>
      <c r="D158" s="3" t="s">
        <v>23</v>
      </c>
      <c r="E158" s="3" t="s">
        <v>24</v>
      </c>
      <c r="F158" s="3" t="n">
        <v>5</v>
      </c>
      <c r="G158" s="4" t="n">
        <v>6500</v>
      </c>
      <c r="H158" s="4" t="n">
        <f aca="false">F158*G158</f>
        <v>32500</v>
      </c>
    </row>
    <row r="159" customFormat="false" ht="15" hidden="false" customHeight="false" outlineLevel="0" collapsed="false">
      <c r="A159" s="3" t="s">
        <v>214</v>
      </c>
      <c r="B159" s="3" t="s">
        <v>215</v>
      </c>
      <c r="C159" s="3" t="s">
        <v>8</v>
      </c>
      <c r="D159" s="3" t="s">
        <v>31</v>
      </c>
      <c r="E159" s="3" t="s">
        <v>27</v>
      </c>
      <c r="F159" s="3" t="n">
        <v>1</v>
      </c>
      <c r="G159" s="4" t="n">
        <v>62000</v>
      </c>
      <c r="H159" s="4" t="n">
        <f aca="false">F159*G159</f>
        <v>62000</v>
      </c>
    </row>
    <row r="160" customFormat="false" ht="15" hidden="false" customHeight="false" outlineLevel="0" collapsed="false">
      <c r="A160" s="3" t="s">
        <v>216</v>
      </c>
      <c r="B160" s="3" t="s">
        <v>215</v>
      </c>
      <c r="C160" s="3" t="s">
        <v>12</v>
      </c>
      <c r="D160" s="3" t="s">
        <v>34</v>
      </c>
      <c r="E160" s="3" t="s">
        <v>24</v>
      </c>
      <c r="F160" s="3" t="n">
        <v>2</v>
      </c>
      <c r="G160" s="4" t="n">
        <v>18500</v>
      </c>
      <c r="H160" s="4" t="n">
        <f aca="false">F160*G160</f>
        <v>37000</v>
      </c>
    </row>
    <row r="161" customFormat="false" ht="15" hidden="false" customHeight="false" outlineLevel="0" collapsed="false">
      <c r="A161" s="3" t="s">
        <v>217</v>
      </c>
      <c r="B161" s="3" t="s">
        <v>215</v>
      </c>
      <c r="C161" s="3" t="s">
        <v>6</v>
      </c>
      <c r="D161" s="3" t="s">
        <v>34</v>
      </c>
      <c r="E161" s="3" t="s">
        <v>27</v>
      </c>
      <c r="F161" s="3" t="n">
        <v>1</v>
      </c>
      <c r="G161" s="4" t="n">
        <v>18500</v>
      </c>
      <c r="H161" s="4" t="n">
        <f aca="false">F161*G161</f>
        <v>18500</v>
      </c>
    </row>
    <row r="162" customFormat="false" ht="15" hidden="false" customHeight="false" outlineLevel="0" collapsed="false">
      <c r="A162" s="3" t="s">
        <v>218</v>
      </c>
      <c r="B162" s="3" t="s">
        <v>215</v>
      </c>
      <c r="C162" s="3" t="s">
        <v>8</v>
      </c>
      <c r="D162" s="3" t="s">
        <v>23</v>
      </c>
      <c r="E162" s="3" t="s">
        <v>27</v>
      </c>
      <c r="F162" s="3" t="n">
        <v>2</v>
      </c>
      <c r="G162" s="4" t="n">
        <v>6500</v>
      </c>
      <c r="H162" s="4" t="n">
        <f aca="false">F162*G162</f>
        <v>13000</v>
      </c>
    </row>
    <row r="163" customFormat="false" ht="15" hidden="false" customHeight="false" outlineLevel="0" collapsed="false">
      <c r="A163" s="3" t="s">
        <v>219</v>
      </c>
      <c r="B163" s="3" t="s">
        <v>220</v>
      </c>
      <c r="C163" s="3" t="s">
        <v>12</v>
      </c>
      <c r="D163" s="3" t="s">
        <v>23</v>
      </c>
      <c r="E163" s="3" t="s">
        <v>27</v>
      </c>
      <c r="F163" s="3" t="n">
        <v>2</v>
      </c>
      <c r="G163" s="4" t="n">
        <v>6500</v>
      </c>
      <c r="H163" s="4" t="n">
        <f aca="false">F163*G163</f>
        <v>13000</v>
      </c>
    </row>
    <row r="164" customFormat="false" ht="15" hidden="false" customHeight="false" outlineLevel="0" collapsed="false">
      <c r="A164" s="3" t="s">
        <v>221</v>
      </c>
      <c r="B164" s="3" t="s">
        <v>220</v>
      </c>
      <c r="C164" s="3" t="s">
        <v>8</v>
      </c>
      <c r="D164" s="3" t="s">
        <v>23</v>
      </c>
      <c r="E164" s="3" t="s">
        <v>27</v>
      </c>
      <c r="F164" s="3" t="n">
        <v>5</v>
      </c>
      <c r="G164" s="4" t="n">
        <v>6500</v>
      </c>
      <c r="H164" s="4" t="n">
        <f aca="false">F164*G164</f>
        <v>32500</v>
      </c>
    </row>
    <row r="165" customFormat="false" ht="15" hidden="false" customHeight="false" outlineLevel="0" collapsed="false">
      <c r="A165" s="3" t="s">
        <v>222</v>
      </c>
      <c r="B165" s="3" t="s">
        <v>220</v>
      </c>
      <c r="C165" s="3" t="s">
        <v>8</v>
      </c>
      <c r="D165" s="3" t="s">
        <v>34</v>
      </c>
      <c r="E165" s="3" t="s">
        <v>24</v>
      </c>
      <c r="F165" s="3" t="n">
        <v>1</v>
      </c>
      <c r="G165" s="4" t="n">
        <v>18500</v>
      </c>
      <c r="H165" s="4" t="n">
        <f aca="false">F165*G165</f>
        <v>18500</v>
      </c>
    </row>
    <row r="166" customFormat="false" ht="15" hidden="false" customHeight="false" outlineLevel="0" collapsed="false">
      <c r="A166" s="3" t="s">
        <v>223</v>
      </c>
      <c r="B166" s="3" t="s">
        <v>220</v>
      </c>
      <c r="C166" s="3" t="s">
        <v>6</v>
      </c>
      <c r="D166" s="3" t="s">
        <v>34</v>
      </c>
      <c r="E166" s="3" t="s">
        <v>27</v>
      </c>
      <c r="F166" s="3" t="n">
        <v>1</v>
      </c>
      <c r="G166" s="4" t="n">
        <v>18500</v>
      </c>
      <c r="H166" s="4" t="n">
        <f aca="false">F166*G166</f>
        <v>18500</v>
      </c>
    </row>
    <row r="167" customFormat="false" ht="15" hidden="false" customHeight="false" outlineLevel="0" collapsed="false">
      <c r="A167" s="3" t="s">
        <v>224</v>
      </c>
      <c r="B167" s="3" t="s">
        <v>220</v>
      </c>
      <c r="C167" s="3" t="s">
        <v>6</v>
      </c>
      <c r="D167" s="3" t="s">
        <v>23</v>
      </c>
      <c r="E167" s="3" t="s">
        <v>24</v>
      </c>
      <c r="F167" s="3" t="n">
        <v>4</v>
      </c>
      <c r="G167" s="4" t="n">
        <v>6500</v>
      </c>
      <c r="H167" s="4" t="n">
        <f aca="false">F167*G167</f>
        <v>26000</v>
      </c>
    </row>
    <row r="168" customFormat="false" ht="15" hidden="false" customHeight="false" outlineLevel="0" collapsed="false">
      <c r="A168" s="3" t="s">
        <v>225</v>
      </c>
      <c r="B168" s="3" t="s">
        <v>220</v>
      </c>
      <c r="C168" s="3" t="s">
        <v>6</v>
      </c>
      <c r="D168" s="3" t="s">
        <v>34</v>
      </c>
      <c r="E168" s="3" t="s">
        <v>24</v>
      </c>
      <c r="F168" s="3" t="n">
        <v>1</v>
      </c>
      <c r="G168" s="4" t="n">
        <v>18500</v>
      </c>
      <c r="H168" s="4" t="n">
        <f aca="false">F168*G168</f>
        <v>18500</v>
      </c>
    </row>
    <row r="169" customFormat="false" ht="15" hidden="false" customHeight="false" outlineLevel="0" collapsed="false">
      <c r="A169" s="3" t="s">
        <v>226</v>
      </c>
      <c r="B169" s="3" t="s">
        <v>220</v>
      </c>
      <c r="C169" s="3" t="s">
        <v>6</v>
      </c>
      <c r="D169" s="3" t="s">
        <v>40</v>
      </c>
      <c r="E169" s="3" t="s">
        <v>24</v>
      </c>
      <c r="F169" s="3" t="n">
        <v>1</v>
      </c>
      <c r="G169" s="4" t="n">
        <v>28000</v>
      </c>
      <c r="H169" s="4" t="n">
        <f aca="false">F169*G169</f>
        <v>28000</v>
      </c>
    </row>
    <row r="170" customFormat="false" ht="15" hidden="false" customHeight="false" outlineLevel="0" collapsed="false">
      <c r="A170" s="3" t="s">
        <v>227</v>
      </c>
      <c r="B170" s="3" t="s">
        <v>228</v>
      </c>
      <c r="C170" s="3" t="s">
        <v>12</v>
      </c>
      <c r="D170" s="3" t="s">
        <v>34</v>
      </c>
      <c r="E170" s="3" t="s">
        <v>27</v>
      </c>
      <c r="F170" s="3" t="n">
        <v>2</v>
      </c>
      <c r="G170" s="4" t="n">
        <v>18500</v>
      </c>
      <c r="H170" s="4" t="n">
        <f aca="false">F170*G170</f>
        <v>37000</v>
      </c>
    </row>
    <row r="171" customFormat="false" ht="15" hidden="false" customHeight="false" outlineLevel="0" collapsed="false">
      <c r="A171" s="3" t="s">
        <v>229</v>
      </c>
      <c r="B171" s="3" t="s">
        <v>228</v>
      </c>
      <c r="C171" s="3" t="s">
        <v>12</v>
      </c>
      <c r="D171" s="3" t="s">
        <v>40</v>
      </c>
      <c r="E171" s="3" t="s">
        <v>24</v>
      </c>
      <c r="F171" s="3" t="n">
        <v>2</v>
      </c>
      <c r="G171" s="4" t="n">
        <v>28000</v>
      </c>
      <c r="H171" s="4" t="n">
        <f aca="false">F171*G171</f>
        <v>56000</v>
      </c>
    </row>
    <row r="172" customFormat="false" ht="15" hidden="false" customHeight="false" outlineLevel="0" collapsed="false">
      <c r="A172" s="3" t="s">
        <v>230</v>
      </c>
      <c r="B172" s="3" t="s">
        <v>228</v>
      </c>
      <c r="C172" s="3" t="s">
        <v>6</v>
      </c>
      <c r="D172" s="3" t="s">
        <v>26</v>
      </c>
      <c r="E172" s="3" t="s">
        <v>24</v>
      </c>
      <c r="F172" s="3" t="n">
        <v>2</v>
      </c>
      <c r="G172" s="4" t="n">
        <v>2500</v>
      </c>
      <c r="H172" s="4" t="n">
        <f aca="false">F172*G172</f>
        <v>5000</v>
      </c>
    </row>
    <row r="173" customFormat="false" ht="15" hidden="false" customHeight="false" outlineLevel="0" collapsed="false">
      <c r="A173" s="3" t="s">
        <v>231</v>
      </c>
      <c r="B173" s="3" t="s">
        <v>228</v>
      </c>
      <c r="C173" s="3" t="s">
        <v>6</v>
      </c>
      <c r="D173" s="3" t="s">
        <v>34</v>
      </c>
      <c r="E173" s="3" t="s">
        <v>27</v>
      </c>
      <c r="F173" s="3" t="n">
        <v>2</v>
      </c>
      <c r="G173" s="4" t="n">
        <v>18500</v>
      </c>
      <c r="H173" s="4" t="n">
        <f aca="false">F173*G173</f>
        <v>37000</v>
      </c>
    </row>
    <row r="174" customFormat="false" ht="15" hidden="false" customHeight="false" outlineLevel="0" collapsed="false">
      <c r="A174" s="3" t="s">
        <v>232</v>
      </c>
      <c r="B174" s="3" t="s">
        <v>233</v>
      </c>
      <c r="C174" s="3" t="s">
        <v>6</v>
      </c>
      <c r="D174" s="3" t="s">
        <v>26</v>
      </c>
      <c r="E174" s="3" t="s">
        <v>27</v>
      </c>
      <c r="F174" s="3" t="n">
        <v>5</v>
      </c>
      <c r="G174" s="4" t="n">
        <v>2500</v>
      </c>
      <c r="H174" s="4" t="n">
        <f aca="false">F174*G174</f>
        <v>12500</v>
      </c>
    </row>
    <row r="175" customFormat="false" ht="15" hidden="false" customHeight="false" outlineLevel="0" collapsed="false">
      <c r="A175" s="3" t="s">
        <v>234</v>
      </c>
      <c r="B175" s="3" t="s">
        <v>233</v>
      </c>
      <c r="C175" s="3" t="s">
        <v>6</v>
      </c>
      <c r="D175" s="3" t="s">
        <v>23</v>
      </c>
      <c r="E175" s="3" t="s">
        <v>27</v>
      </c>
      <c r="F175" s="3" t="n">
        <v>2</v>
      </c>
      <c r="G175" s="4" t="n">
        <v>6500</v>
      </c>
      <c r="H175" s="4" t="n">
        <f aca="false">F175*G175</f>
        <v>13000</v>
      </c>
    </row>
    <row r="176" customFormat="false" ht="15" hidden="false" customHeight="false" outlineLevel="0" collapsed="false">
      <c r="A176" s="3" t="s">
        <v>235</v>
      </c>
      <c r="B176" s="3" t="s">
        <v>233</v>
      </c>
      <c r="C176" s="3" t="s">
        <v>8</v>
      </c>
      <c r="D176" s="3" t="s">
        <v>31</v>
      </c>
      <c r="E176" s="3" t="s">
        <v>24</v>
      </c>
      <c r="F176" s="3" t="n">
        <v>1</v>
      </c>
      <c r="G176" s="4" t="n">
        <v>62000</v>
      </c>
      <c r="H176" s="4" t="n">
        <f aca="false">F176*G176</f>
        <v>62000</v>
      </c>
    </row>
    <row r="177" customFormat="false" ht="15" hidden="false" customHeight="false" outlineLevel="0" collapsed="false">
      <c r="A177" s="3" t="s">
        <v>236</v>
      </c>
      <c r="B177" s="3" t="s">
        <v>233</v>
      </c>
      <c r="C177" s="3" t="s">
        <v>6</v>
      </c>
      <c r="D177" s="3" t="s">
        <v>40</v>
      </c>
      <c r="E177" s="3" t="s">
        <v>24</v>
      </c>
      <c r="F177" s="3" t="n">
        <v>2</v>
      </c>
      <c r="G177" s="4" t="n">
        <v>28000</v>
      </c>
      <c r="H177" s="4" t="n">
        <f aca="false">F177*G177</f>
        <v>56000</v>
      </c>
    </row>
    <row r="178" customFormat="false" ht="15" hidden="false" customHeight="false" outlineLevel="0" collapsed="false">
      <c r="A178" s="3" t="s">
        <v>237</v>
      </c>
      <c r="B178" s="3" t="s">
        <v>233</v>
      </c>
      <c r="C178" s="3" t="s">
        <v>6</v>
      </c>
      <c r="D178" s="3" t="s">
        <v>23</v>
      </c>
      <c r="E178" s="3" t="s">
        <v>24</v>
      </c>
      <c r="F178" s="3" t="n">
        <v>3</v>
      </c>
      <c r="G178" s="4" t="n">
        <v>6500</v>
      </c>
      <c r="H178" s="4" t="n">
        <f aca="false">F178*G178</f>
        <v>19500</v>
      </c>
    </row>
    <row r="179" customFormat="false" ht="15" hidden="false" customHeight="false" outlineLevel="0" collapsed="false">
      <c r="A179" s="3" t="s">
        <v>238</v>
      </c>
      <c r="B179" s="3" t="s">
        <v>239</v>
      </c>
      <c r="C179" s="3" t="s">
        <v>6</v>
      </c>
      <c r="D179" s="3" t="s">
        <v>40</v>
      </c>
      <c r="E179" s="3" t="s">
        <v>24</v>
      </c>
      <c r="F179" s="3" t="n">
        <v>2</v>
      </c>
      <c r="G179" s="4" t="n">
        <v>28000</v>
      </c>
      <c r="H179" s="4" t="n">
        <f aca="false">F179*G179</f>
        <v>56000</v>
      </c>
    </row>
    <row r="180" customFormat="false" ht="15" hidden="false" customHeight="false" outlineLevel="0" collapsed="false">
      <c r="A180" s="3" t="s">
        <v>240</v>
      </c>
      <c r="B180" s="3" t="s">
        <v>239</v>
      </c>
      <c r="C180" s="3" t="s">
        <v>6</v>
      </c>
      <c r="D180" s="3" t="s">
        <v>29</v>
      </c>
      <c r="E180" s="3" t="s">
        <v>27</v>
      </c>
      <c r="F180" s="3" t="n">
        <v>1</v>
      </c>
      <c r="G180" s="4" t="n">
        <v>45000</v>
      </c>
      <c r="H180" s="4" t="n">
        <f aca="false">F180*G180</f>
        <v>45000</v>
      </c>
    </row>
    <row r="181" customFormat="false" ht="15" hidden="false" customHeight="false" outlineLevel="0" collapsed="false">
      <c r="A181" s="3" t="s">
        <v>241</v>
      </c>
      <c r="B181" s="3" t="s">
        <v>239</v>
      </c>
      <c r="C181" s="3" t="s">
        <v>8</v>
      </c>
      <c r="D181" s="3" t="s">
        <v>26</v>
      </c>
      <c r="E181" s="3" t="s">
        <v>27</v>
      </c>
      <c r="F181" s="3" t="n">
        <v>1</v>
      </c>
      <c r="G181" s="4" t="n">
        <v>2500</v>
      </c>
      <c r="H181" s="4" t="n">
        <f aca="false">F181*G181</f>
        <v>2500</v>
      </c>
    </row>
    <row r="182" customFormat="false" ht="15" hidden="false" customHeight="false" outlineLevel="0" collapsed="false">
      <c r="A182" s="3" t="s">
        <v>242</v>
      </c>
      <c r="B182" s="3" t="s">
        <v>239</v>
      </c>
      <c r="C182" s="3" t="s">
        <v>12</v>
      </c>
      <c r="D182" s="3" t="s">
        <v>34</v>
      </c>
      <c r="E182" s="3" t="s">
        <v>27</v>
      </c>
      <c r="F182" s="3" t="n">
        <v>1</v>
      </c>
      <c r="G182" s="4" t="n">
        <v>18500</v>
      </c>
      <c r="H182" s="4" t="n">
        <f aca="false">F182*G182</f>
        <v>18500</v>
      </c>
    </row>
    <row r="183" customFormat="false" ht="15" hidden="false" customHeight="false" outlineLevel="0" collapsed="false">
      <c r="A183" s="3" t="s">
        <v>243</v>
      </c>
      <c r="B183" s="3" t="s">
        <v>239</v>
      </c>
      <c r="C183" s="3" t="s">
        <v>8</v>
      </c>
      <c r="D183" s="3" t="s">
        <v>29</v>
      </c>
      <c r="E183" s="3" t="s">
        <v>24</v>
      </c>
      <c r="F183" s="3" t="n">
        <v>2</v>
      </c>
      <c r="G183" s="4" t="n">
        <v>45000</v>
      </c>
      <c r="H183" s="4" t="n">
        <f aca="false">F183*G183</f>
        <v>90000</v>
      </c>
    </row>
    <row r="184" customFormat="false" ht="15" hidden="false" customHeight="false" outlineLevel="0" collapsed="false">
      <c r="A184" s="3" t="s">
        <v>244</v>
      </c>
      <c r="B184" s="3" t="s">
        <v>239</v>
      </c>
      <c r="C184" s="3" t="s">
        <v>12</v>
      </c>
      <c r="D184" s="3" t="s">
        <v>23</v>
      </c>
      <c r="E184" s="3" t="s">
        <v>24</v>
      </c>
      <c r="F184" s="3" t="n">
        <v>3</v>
      </c>
      <c r="G184" s="4" t="n">
        <v>6500</v>
      </c>
      <c r="H184" s="4" t="n">
        <f aca="false">F184*G184</f>
        <v>19500</v>
      </c>
    </row>
    <row r="185" customFormat="false" ht="15" hidden="false" customHeight="false" outlineLevel="0" collapsed="false">
      <c r="A185" s="3" t="s">
        <v>245</v>
      </c>
      <c r="B185" s="3" t="s">
        <v>246</v>
      </c>
      <c r="C185" s="3" t="s">
        <v>8</v>
      </c>
      <c r="D185" s="3" t="s">
        <v>26</v>
      </c>
      <c r="E185" s="3" t="s">
        <v>24</v>
      </c>
      <c r="F185" s="3" t="n">
        <v>2</v>
      </c>
      <c r="G185" s="4" t="n">
        <v>2500</v>
      </c>
      <c r="H185" s="4" t="n">
        <f aca="false">F185*G185</f>
        <v>5000</v>
      </c>
    </row>
    <row r="186" customFormat="false" ht="15" hidden="false" customHeight="false" outlineLevel="0" collapsed="false">
      <c r="A186" s="3" t="s">
        <v>247</v>
      </c>
      <c r="B186" s="3" t="s">
        <v>246</v>
      </c>
      <c r="C186" s="3" t="s">
        <v>6</v>
      </c>
      <c r="D186" s="3" t="s">
        <v>26</v>
      </c>
      <c r="E186" s="3" t="s">
        <v>27</v>
      </c>
      <c r="F186" s="3" t="n">
        <v>4</v>
      </c>
      <c r="G186" s="4" t="n">
        <v>2500</v>
      </c>
      <c r="H186" s="4" t="n">
        <f aca="false">F186*G186</f>
        <v>10000</v>
      </c>
    </row>
    <row r="187" customFormat="false" ht="15" hidden="false" customHeight="false" outlineLevel="0" collapsed="false">
      <c r="A187" s="3" t="s">
        <v>248</v>
      </c>
      <c r="B187" s="3" t="s">
        <v>246</v>
      </c>
      <c r="C187" s="3" t="s">
        <v>8</v>
      </c>
      <c r="D187" s="3" t="s">
        <v>26</v>
      </c>
      <c r="E187" s="3" t="s">
        <v>27</v>
      </c>
      <c r="F187" s="3" t="n">
        <v>4</v>
      </c>
      <c r="G187" s="4" t="n">
        <v>2500</v>
      </c>
      <c r="H187" s="4" t="n">
        <f aca="false">F187*G187</f>
        <v>10000</v>
      </c>
    </row>
    <row r="188" customFormat="false" ht="15" hidden="false" customHeight="false" outlineLevel="0" collapsed="false">
      <c r="A188" s="3" t="s">
        <v>249</v>
      </c>
      <c r="B188" s="3" t="s">
        <v>246</v>
      </c>
      <c r="C188" s="3" t="s">
        <v>10</v>
      </c>
      <c r="D188" s="3" t="s">
        <v>31</v>
      </c>
      <c r="E188" s="3" t="s">
        <v>27</v>
      </c>
      <c r="F188" s="3" t="n">
        <v>2</v>
      </c>
      <c r="G188" s="4" t="n">
        <v>62000</v>
      </c>
      <c r="H188" s="4" t="n">
        <f aca="false">F188*G188</f>
        <v>124000</v>
      </c>
    </row>
    <row r="189" customFormat="false" ht="15" hidden="false" customHeight="false" outlineLevel="0" collapsed="false">
      <c r="A189" s="3" t="s">
        <v>250</v>
      </c>
      <c r="B189" s="3" t="s">
        <v>251</v>
      </c>
      <c r="C189" s="3" t="s">
        <v>11</v>
      </c>
      <c r="D189" s="3" t="s">
        <v>29</v>
      </c>
      <c r="E189" s="3" t="s">
        <v>27</v>
      </c>
      <c r="F189" s="3" t="n">
        <v>2</v>
      </c>
      <c r="G189" s="4" t="n">
        <v>45000</v>
      </c>
      <c r="H189" s="4" t="n">
        <f aca="false">F189*G189</f>
        <v>90000</v>
      </c>
    </row>
    <row r="190" customFormat="false" ht="15" hidden="false" customHeight="false" outlineLevel="0" collapsed="false">
      <c r="A190" s="3" t="s">
        <v>252</v>
      </c>
      <c r="B190" s="3" t="s">
        <v>251</v>
      </c>
      <c r="C190" s="3" t="s">
        <v>10</v>
      </c>
      <c r="D190" s="3" t="s">
        <v>26</v>
      </c>
      <c r="E190" s="3" t="s">
        <v>24</v>
      </c>
      <c r="F190" s="3" t="n">
        <v>1</v>
      </c>
      <c r="G190" s="4" t="n">
        <v>2500</v>
      </c>
      <c r="H190" s="4" t="n">
        <f aca="false">F190*G190</f>
        <v>2500</v>
      </c>
    </row>
    <row r="191" customFormat="false" ht="15" hidden="false" customHeight="false" outlineLevel="0" collapsed="false">
      <c r="A191" s="3" t="s">
        <v>253</v>
      </c>
      <c r="B191" s="3" t="s">
        <v>251</v>
      </c>
      <c r="C191" s="3" t="s">
        <v>6</v>
      </c>
      <c r="D191" s="3" t="s">
        <v>40</v>
      </c>
      <c r="E191" s="3" t="s">
        <v>27</v>
      </c>
      <c r="F191" s="3" t="n">
        <v>1</v>
      </c>
      <c r="G191" s="4" t="n">
        <v>28000</v>
      </c>
      <c r="H191" s="4" t="n">
        <f aca="false">F191*G191</f>
        <v>28000</v>
      </c>
    </row>
    <row r="192" customFormat="false" ht="15" hidden="false" customHeight="false" outlineLevel="0" collapsed="false">
      <c r="A192" s="3" t="s">
        <v>254</v>
      </c>
      <c r="B192" s="3" t="s">
        <v>251</v>
      </c>
      <c r="C192" s="3" t="s">
        <v>8</v>
      </c>
      <c r="D192" s="3" t="s">
        <v>40</v>
      </c>
      <c r="E192" s="3" t="s">
        <v>24</v>
      </c>
      <c r="F192" s="3" t="n">
        <v>1</v>
      </c>
      <c r="G192" s="4" t="n">
        <v>28000</v>
      </c>
      <c r="H192" s="4" t="n">
        <f aca="false">F192*G192</f>
        <v>28000</v>
      </c>
    </row>
    <row r="193" customFormat="false" ht="15" hidden="false" customHeight="false" outlineLevel="0" collapsed="false">
      <c r="A193" s="3" t="s">
        <v>255</v>
      </c>
      <c r="B193" s="3" t="s">
        <v>251</v>
      </c>
      <c r="C193" s="3" t="s">
        <v>11</v>
      </c>
      <c r="D193" s="3" t="s">
        <v>34</v>
      </c>
      <c r="E193" s="3" t="s">
        <v>24</v>
      </c>
      <c r="F193" s="3" t="n">
        <v>2</v>
      </c>
      <c r="G193" s="4" t="n">
        <v>18500</v>
      </c>
      <c r="H193" s="4" t="n">
        <f aca="false">F193*G193</f>
        <v>37000</v>
      </c>
    </row>
    <row r="194" customFormat="false" ht="15" hidden="false" customHeight="false" outlineLevel="0" collapsed="false">
      <c r="A194" s="3" t="s">
        <v>256</v>
      </c>
      <c r="B194" s="3" t="s">
        <v>251</v>
      </c>
      <c r="C194" s="3" t="s">
        <v>6</v>
      </c>
      <c r="D194" s="3" t="s">
        <v>26</v>
      </c>
      <c r="E194" s="3" t="s">
        <v>27</v>
      </c>
      <c r="F194" s="3" t="n">
        <v>5</v>
      </c>
      <c r="G194" s="4" t="n">
        <v>2500</v>
      </c>
      <c r="H194" s="4" t="n">
        <f aca="false">F194*G194</f>
        <v>12500</v>
      </c>
    </row>
    <row r="195" customFormat="false" ht="15" hidden="false" customHeight="false" outlineLevel="0" collapsed="false">
      <c r="A195" s="3" t="s">
        <v>257</v>
      </c>
      <c r="B195" s="3" t="s">
        <v>258</v>
      </c>
      <c r="C195" s="3" t="s">
        <v>6</v>
      </c>
      <c r="D195" s="3" t="s">
        <v>26</v>
      </c>
      <c r="E195" s="3" t="s">
        <v>27</v>
      </c>
      <c r="F195" s="3" t="n">
        <v>2</v>
      </c>
      <c r="G195" s="4" t="n">
        <v>2500</v>
      </c>
      <c r="H195" s="4" t="n">
        <f aca="false">F195*G195</f>
        <v>5000</v>
      </c>
    </row>
    <row r="196" customFormat="false" ht="15" hidden="false" customHeight="false" outlineLevel="0" collapsed="false">
      <c r="A196" s="3" t="s">
        <v>259</v>
      </c>
      <c r="B196" s="3" t="s">
        <v>258</v>
      </c>
      <c r="C196" s="3" t="s">
        <v>6</v>
      </c>
      <c r="D196" s="3" t="s">
        <v>23</v>
      </c>
      <c r="E196" s="3" t="s">
        <v>27</v>
      </c>
      <c r="F196" s="3" t="n">
        <v>1</v>
      </c>
      <c r="G196" s="4" t="n">
        <v>6500</v>
      </c>
      <c r="H196" s="4" t="n">
        <f aca="false">F196*G196</f>
        <v>6500</v>
      </c>
    </row>
    <row r="197" customFormat="false" ht="15" hidden="false" customHeight="false" outlineLevel="0" collapsed="false">
      <c r="A197" s="3" t="s">
        <v>260</v>
      </c>
      <c r="B197" s="3" t="s">
        <v>258</v>
      </c>
      <c r="C197" s="3" t="s">
        <v>6</v>
      </c>
      <c r="D197" s="3" t="s">
        <v>23</v>
      </c>
      <c r="E197" s="3" t="s">
        <v>27</v>
      </c>
      <c r="F197" s="3" t="n">
        <v>4</v>
      </c>
      <c r="G197" s="4" t="n">
        <v>6500</v>
      </c>
      <c r="H197" s="4" t="n">
        <f aca="false">F197*G197</f>
        <v>26000</v>
      </c>
    </row>
    <row r="198" customFormat="false" ht="15" hidden="false" customHeight="false" outlineLevel="0" collapsed="false">
      <c r="A198" s="3" t="s">
        <v>261</v>
      </c>
      <c r="B198" s="3" t="s">
        <v>258</v>
      </c>
      <c r="C198" s="3" t="s">
        <v>12</v>
      </c>
      <c r="D198" s="3" t="s">
        <v>26</v>
      </c>
      <c r="E198" s="3" t="s">
        <v>24</v>
      </c>
      <c r="F198" s="3" t="n">
        <v>4</v>
      </c>
      <c r="G198" s="4" t="n">
        <v>2500</v>
      </c>
      <c r="H198" s="4" t="n">
        <f aca="false">F198*G198</f>
        <v>10000</v>
      </c>
    </row>
    <row r="199" customFormat="false" ht="15" hidden="false" customHeight="false" outlineLevel="0" collapsed="false">
      <c r="A199" s="3" t="s">
        <v>262</v>
      </c>
      <c r="B199" s="3" t="s">
        <v>263</v>
      </c>
      <c r="C199" s="3" t="s">
        <v>8</v>
      </c>
      <c r="D199" s="3" t="s">
        <v>31</v>
      </c>
      <c r="E199" s="3" t="s">
        <v>27</v>
      </c>
      <c r="F199" s="3" t="n">
        <v>2</v>
      </c>
      <c r="G199" s="4" t="n">
        <v>62000</v>
      </c>
      <c r="H199" s="4" t="n">
        <f aca="false">F199*G199</f>
        <v>124000</v>
      </c>
    </row>
    <row r="200" customFormat="false" ht="15" hidden="false" customHeight="false" outlineLevel="0" collapsed="false">
      <c r="A200" s="3" t="s">
        <v>264</v>
      </c>
      <c r="B200" s="3" t="s">
        <v>263</v>
      </c>
      <c r="C200" s="3" t="s">
        <v>8</v>
      </c>
      <c r="D200" s="3" t="s">
        <v>34</v>
      </c>
      <c r="E200" s="3" t="s">
        <v>27</v>
      </c>
      <c r="F200" s="3" t="n">
        <v>1</v>
      </c>
      <c r="G200" s="4" t="n">
        <v>18500</v>
      </c>
      <c r="H200" s="4" t="n">
        <f aca="false">F200*G200</f>
        <v>18500</v>
      </c>
    </row>
    <row r="201" customFormat="false" ht="15" hidden="false" customHeight="false" outlineLevel="0" collapsed="false">
      <c r="A201" s="3" t="s">
        <v>265</v>
      </c>
      <c r="B201" s="3" t="s">
        <v>263</v>
      </c>
      <c r="C201" s="3" t="s">
        <v>11</v>
      </c>
      <c r="D201" s="3" t="s">
        <v>26</v>
      </c>
      <c r="E201" s="3" t="s">
        <v>27</v>
      </c>
      <c r="F201" s="3" t="n">
        <v>1</v>
      </c>
      <c r="G201" s="4" t="n">
        <v>2500</v>
      </c>
      <c r="H201" s="4" t="n">
        <f aca="false">F201*G201</f>
        <v>2500</v>
      </c>
    </row>
    <row r="202" customFormat="false" ht="15" hidden="false" customHeight="false" outlineLevel="0" collapsed="false">
      <c r="A202" s="3" t="s">
        <v>266</v>
      </c>
      <c r="B202" s="3" t="s">
        <v>263</v>
      </c>
      <c r="C202" s="3" t="s">
        <v>6</v>
      </c>
      <c r="D202" s="3" t="s">
        <v>23</v>
      </c>
      <c r="E202" s="3" t="s">
        <v>24</v>
      </c>
      <c r="F202" s="3" t="n">
        <v>1</v>
      </c>
      <c r="G202" s="4" t="n">
        <v>6500</v>
      </c>
      <c r="H202" s="4" t="n">
        <f aca="false">F202*G202</f>
        <v>6500</v>
      </c>
    </row>
    <row r="203" customFormat="false" ht="15" hidden="false" customHeight="false" outlineLevel="0" collapsed="false">
      <c r="A203" s="3" t="s">
        <v>267</v>
      </c>
      <c r="B203" s="3" t="s">
        <v>263</v>
      </c>
      <c r="C203" s="3" t="s">
        <v>10</v>
      </c>
      <c r="D203" s="3" t="s">
        <v>23</v>
      </c>
      <c r="E203" s="3" t="s">
        <v>27</v>
      </c>
      <c r="F203" s="3" t="n">
        <v>5</v>
      </c>
      <c r="G203" s="4" t="n">
        <v>6500</v>
      </c>
      <c r="H203" s="4" t="n">
        <f aca="false">F203*G203</f>
        <v>32500</v>
      </c>
    </row>
    <row r="204" customFormat="false" ht="15" hidden="false" customHeight="false" outlineLevel="0" collapsed="false">
      <c r="A204" s="3" t="s">
        <v>268</v>
      </c>
      <c r="B204" s="3" t="s">
        <v>263</v>
      </c>
      <c r="C204" s="3" t="s">
        <v>12</v>
      </c>
      <c r="D204" s="3" t="s">
        <v>31</v>
      </c>
      <c r="E204" s="3" t="s">
        <v>27</v>
      </c>
      <c r="F204" s="3" t="n">
        <v>1</v>
      </c>
      <c r="G204" s="4" t="n">
        <v>62000</v>
      </c>
      <c r="H204" s="4" t="n">
        <f aca="false">F204*G204</f>
        <v>62000</v>
      </c>
    </row>
    <row r="205" customFormat="false" ht="15" hidden="false" customHeight="false" outlineLevel="0" collapsed="false">
      <c r="A205" s="3" t="s">
        <v>269</v>
      </c>
      <c r="B205" s="3" t="s">
        <v>263</v>
      </c>
      <c r="C205" s="3" t="s">
        <v>8</v>
      </c>
      <c r="D205" s="3" t="s">
        <v>34</v>
      </c>
      <c r="E205" s="3" t="s">
        <v>27</v>
      </c>
      <c r="F205" s="3" t="n">
        <v>2</v>
      </c>
      <c r="G205" s="4" t="n">
        <v>18500</v>
      </c>
      <c r="H205" s="4" t="n">
        <f aca="false">F205*G205</f>
        <v>37000</v>
      </c>
    </row>
    <row r="206" customFormat="false" ht="15" hidden="false" customHeight="false" outlineLevel="0" collapsed="false">
      <c r="A206" s="3" t="s">
        <v>270</v>
      </c>
      <c r="B206" s="3" t="s">
        <v>271</v>
      </c>
      <c r="C206" s="3" t="s">
        <v>6</v>
      </c>
      <c r="D206" s="3" t="s">
        <v>34</v>
      </c>
      <c r="E206" s="3" t="s">
        <v>24</v>
      </c>
      <c r="F206" s="3" t="n">
        <v>2</v>
      </c>
      <c r="G206" s="4" t="n">
        <v>18500</v>
      </c>
      <c r="H206" s="4" t="n">
        <f aca="false">F206*G206</f>
        <v>37000</v>
      </c>
    </row>
    <row r="207" customFormat="false" ht="15" hidden="false" customHeight="false" outlineLevel="0" collapsed="false">
      <c r="A207" s="3" t="s">
        <v>272</v>
      </c>
      <c r="B207" s="3" t="s">
        <v>271</v>
      </c>
      <c r="C207" s="3" t="s">
        <v>8</v>
      </c>
      <c r="D207" s="3" t="s">
        <v>23</v>
      </c>
      <c r="E207" s="3" t="s">
        <v>27</v>
      </c>
      <c r="F207" s="3" t="n">
        <v>1</v>
      </c>
      <c r="G207" s="4" t="n">
        <v>6500</v>
      </c>
      <c r="H207" s="4" t="n">
        <f aca="false">F207*G207</f>
        <v>6500</v>
      </c>
    </row>
    <row r="208" customFormat="false" ht="15" hidden="false" customHeight="false" outlineLevel="0" collapsed="false">
      <c r="A208" s="3" t="s">
        <v>273</v>
      </c>
      <c r="B208" s="3" t="s">
        <v>271</v>
      </c>
      <c r="C208" s="3" t="s">
        <v>6</v>
      </c>
      <c r="D208" s="3" t="s">
        <v>26</v>
      </c>
      <c r="E208" s="3" t="s">
        <v>24</v>
      </c>
      <c r="F208" s="3" t="n">
        <v>3</v>
      </c>
      <c r="G208" s="4" t="n">
        <v>2500</v>
      </c>
      <c r="H208" s="4" t="n">
        <f aca="false">F208*G208</f>
        <v>7500</v>
      </c>
    </row>
    <row r="209" customFormat="false" ht="15" hidden="false" customHeight="false" outlineLevel="0" collapsed="false">
      <c r="A209" s="3" t="s">
        <v>274</v>
      </c>
      <c r="B209" s="3" t="s">
        <v>271</v>
      </c>
      <c r="C209" s="3" t="s">
        <v>10</v>
      </c>
      <c r="D209" s="3" t="s">
        <v>31</v>
      </c>
      <c r="E209" s="3" t="s">
        <v>27</v>
      </c>
      <c r="F209" s="3" t="n">
        <v>1</v>
      </c>
      <c r="G209" s="4" t="n">
        <v>62000</v>
      </c>
      <c r="H209" s="4" t="n">
        <f aca="false">F209*G209</f>
        <v>62000</v>
      </c>
    </row>
    <row r="210" customFormat="false" ht="15" hidden="false" customHeight="false" outlineLevel="0" collapsed="false">
      <c r="A210" s="3" t="s">
        <v>275</v>
      </c>
      <c r="B210" s="3" t="s">
        <v>271</v>
      </c>
      <c r="C210" s="3" t="s">
        <v>12</v>
      </c>
      <c r="D210" s="3" t="s">
        <v>23</v>
      </c>
      <c r="E210" s="3" t="s">
        <v>27</v>
      </c>
      <c r="F210" s="3" t="n">
        <v>1</v>
      </c>
      <c r="G210" s="4" t="n">
        <v>6500</v>
      </c>
      <c r="H210" s="4" t="n">
        <f aca="false">F210*G210</f>
        <v>6500</v>
      </c>
    </row>
    <row r="211" customFormat="false" ht="15" hidden="false" customHeight="false" outlineLevel="0" collapsed="false">
      <c r="A211" s="3" t="s">
        <v>276</v>
      </c>
      <c r="B211" s="3" t="s">
        <v>271</v>
      </c>
      <c r="C211" s="3" t="s">
        <v>6</v>
      </c>
      <c r="D211" s="3" t="s">
        <v>34</v>
      </c>
      <c r="E211" s="3" t="s">
        <v>27</v>
      </c>
      <c r="F211" s="3" t="n">
        <v>2</v>
      </c>
      <c r="G211" s="4" t="n">
        <v>18500</v>
      </c>
      <c r="H211" s="4" t="n">
        <f aca="false">F211*G211</f>
        <v>37000</v>
      </c>
    </row>
    <row r="212" customFormat="false" ht="15" hidden="false" customHeight="false" outlineLevel="0" collapsed="false">
      <c r="A212" s="3" t="s">
        <v>277</v>
      </c>
      <c r="B212" s="3" t="s">
        <v>271</v>
      </c>
      <c r="C212" s="3" t="s">
        <v>8</v>
      </c>
      <c r="D212" s="3" t="s">
        <v>34</v>
      </c>
      <c r="E212" s="3" t="s">
        <v>27</v>
      </c>
      <c r="F212" s="3" t="n">
        <v>1</v>
      </c>
      <c r="G212" s="4" t="n">
        <v>18500</v>
      </c>
      <c r="H212" s="4" t="n">
        <f aca="false">F212*G212</f>
        <v>18500</v>
      </c>
    </row>
    <row r="213" customFormat="false" ht="15" hidden="false" customHeight="false" outlineLevel="0" collapsed="false">
      <c r="A213" s="3" t="s">
        <v>278</v>
      </c>
      <c r="B213" s="3" t="s">
        <v>279</v>
      </c>
      <c r="C213" s="3" t="s">
        <v>10</v>
      </c>
      <c r="D213" s="3" t="s">
        <v>26</v>
      </c>
      <c r="E213" s="3" t="s">
        <v>24</v>
      </c>
      <c r="F213" s="3" t="n">
        <v>2</v>
      </c>
      <c r="G213" s="4" t="n">
        <v>2500</v>
      </c>
      <c r="H213" s="4" t="n">
        <f aca="false">F213*G213</f>
        <v>5000</v>
      </c>
    </row>
    <row r="214" customFormat="false" ht="15" hidden="false" customHeight="false" outlineLevel="0" collapsed="false">
      <c r="A214" s="3" t="s">
        <v>280</v>
      </c>
      <c r="B214" s="3" t="s">
        <v>279</v>
      </c>
      <c r="C214" s="3" t="s">
        <v>12</v>
      </c>
      <c r="D214" s="3" t="s">
        <v>34</v>
      </c>
      <c r="E214" s="3" t="s">
        <v>24</v>
      </c>
      <c r="F214" s="3" t="n">
        <v>1</v>
      </c>
      <c r="G214" s="4" t="n">
        <v>18500</v>
      </c>
      <c r="H214" s="4" t="n">
        <f aca="false">F214*G214</f>
        <v>18500</v>
      </c>
    </row>
    <row r="215" customFormat="false" ht="15" hidden="false" customHeight="false" outlineLevel="0" collapsed="false">
      <c r="A215" s="3" t="s">
        <v>281</v>
      </c>
      <c r="B215" s="3" t="s">
        <v>279</v>
      </c>
      <c r="C215" s="3" t="s">
        <v>8</v>
      </c>
      <c r="D215" s="3" t="s">
        <v>40</v>
      </c>
      <c r="E215" s="3" t="s">
        <v>24</v>
      </c>
      <c r="F215" s="3" t="n">
        <v>1</v>
      </c>
      <c r="G215" s="4" t="n">
        <v>28000</v>
      </c>
      <c r="H215" s="4" t="n">
        <f aca="false">F215*G215</f>
        <v>28000</v>
      </c>
    </row>
    <row r="216" customFormat="false" ht="15" hidden="false" customHeight="false" outlineLevel="0" collapsed="false">
      <c r="A216" s="3" t="s">
        <v>282</v>
      </c>
      <c r="B216" s="3" t="s">
        <v>283</v>
      </c>
      <c r="C216" s="3" t="s">
        <v>8</v>
      </c>
      <c r="D216" s="3" t="s">
        <v>34</v>
      </c>
      <c r="E216" s="3" t="s">
        <v>27</v>
      </c>
      <c r="F216" s="3" t="n">
        <v>2</v>
      </c>
      <c r="G216" s="4" t="n">
        <v>18500</v>
      </c>
      <c r="H216" s="4" t="n">
        <f aca="false">F216*G216</f>
        <v>37000</v>
      </c>
    </row>
    <row r="217" customFormat="false" ht="15" hidden="false" customHeight="false" outlineLevel="0" collapsed="false">
      <c r="A217" s="3" t="s">
        <v>284</v>
      </c>
      <c r="B217" s="3" t="s">
        <v>283</v>
      </c>
      <c r="C217" s="3" t="s">
        <v>8</v>
      </c>
      <c r="D217" s="3" t="s">
        <v>26</v>
      </c>
      <c r="E217" s="3" t="s">
        <v>27</v>
      </c>
      <c r="F217" s="3" t="n">
        <v>4</v>
      </c>
      <c r="G217" s="4" t="n">
        <v>2500</v>
      </c>
      <c r="H217" s="4" t="n">
        <f aca="false">F217*G217</f>
        <v>10000</v>
      </c>
    </row>
    <row r="218" customFormat="false" ht="15" hidden="false" customHeight="false" outlineLevel="0" collapsed="false">
      <c r="A218" s="3" t="s">
        <v>285</v>
      </c>
      <c r="B218" s="3" t="s">
        <v>283</v>
      </c>
      <c r="C218" s="3" t="s">
        <v>8</v>
      </c>
      <c r="D218" s="3" t="s">
        <v>34</v>
      </c>
      <c r="E218" s="3" t="s">
        <v>24</v>
      </c>
      <c r="F218" s="3" t="n">
        <v>2</v>
      </c>
      <c r="G218" s="4" t="n">
        <v>18500</v>
      </c>
      <c r="H218" s="4" t="n">
        <f aca="false">F218*G218</f>
        <v>37000</v>
      </c>
    </row>
    <row r="219" customFormat="false" ht="15" hidden="false" customHeight="false" outlineLevel="0" collapsed="false">
      <c r="A219" s="3" t="s">
        <v>286</v>
      </c>
      <c r="B219" s="3" t="s">
        <v>283</v>
      </c>
      <c r="C219" s="3" t="s">
        <v>10</v>
      </c>
      <c r="D219" s="3" t="s">
        <v>23</v>
      </c>
      <c r="E219" s="3" t="s">
        <v>24</v>
      </c>
      <c r="F219" s="3" t="n">
        <v>1</v>
      </c>
      <c r="G219" s="4" t="n">
        <v>6500</v>
      </c>
      <c r="H219" s="4" t="n">
        <f aca="false">F219*G219</f>
        <v>6500</v>
      </c>
    </row>
    <row r="220" customFormat="false" ht="15" hidden="false" customHeight="false" outlineLevel="0" collapsed="false">
      <c r="A220" s="3" t="s">
        <v>287</v>
      </c>
      <c r="B220" s="3" t="s">
        <v>283</v>
      </c>
      <c r="C220" s="3" t="s">
        <v>8</v>
      </c>
      <c r="D220" s="3" t="s">
        <v>29</v>
      </c>
      <c r="E220" s="3" t="s">
        <v>24</v>
      </c>
      <c r="F220" s="3" t="n">
        <v>2</v>
      </c>
      <c r="G220" s="4" t="n">
        <v>45000</v>
      </c>
      <c r="H220" s="4" t="n">
        <f aca="false">F220*G220</f>
        <v>90000</v>
      </c>
    </row>
    <row r="221" customFormat="false" ht="15" hidden="false" customHeight="false" outlineLevel="0" collapsed="false">
      <c r="A221" s="3" t="s">
        <v>288</v>
      </c>
      <c r="B221" s="3" t="s">
        <v>289</v>
      </c>
      <c r="C221" s="3" t="s">
        <v>6</v>
      </c>
      <c r="D221" s="3" t="s">
        <v>34</v>
      </c>
      <c r="E221" s="3" t="s">
        <v>27</v>
      </c>
      <c r="F221" s="3" t="n">
        <v>1</v>
      </c>
      <c r="G221" s="4" t="n">
        <v>18500</v>
      </c>
      <c r="H221" s="4" t="n">
        <f aca="false">F221*G221</f>
        <v>18500</v>
      </c>
    </row>
    <row r="222" customFormat="false" ht="15" hidden="false" customHeight="false" outlineLevel="0" collapsed="false">
      <c r="A222" s="3" t="s">
        <v>290</v>
      </c>
      <c r="B222" s="3" t="s">
        <v>289</v>
      </c>
      <c r="C222" s="3" t="s">
        <v>8</v>
      </c>
      <c r="D222" s="3" t="s">
        <v>40</v>
      </c>
      <c r="E222" s="3" t="s">
        <v>27</v>
      </c>
      <c r="F222" s="3" t="n">
        <v>2</v>
      </c>
      <c r="G222" s="4" t="n">
        <v>28000</v>
      </c>
      <c r="H222" s="4" t="n">
        <f aca="false">F222*G222</f>
        <v>56000</v>
      </c>
    </row>
    <row r="223" customFormat="false" ht="15" hidden="false" customHeight="false" outlineLevel="0" collapsed="false">
      <c r="A223" s="3" t="s">
        <v>291</v>
      </c>
      <c r="B223" s="3" t="s">
        <v>289</v>
      </c>
      <c r="C223" s="3" t="s">
        <v>11</v>
      </c>
      <c r="D223" s="3" t="s">
        <v>23</v>
      </c>
      <c r="E223" s="3" t="s">
        <v>24</v>
      </c>
      <c r="F223" s="3" t="n">
        <v>4</v>
      </c>
      <c r="G223" s="4" t="n">
        <v>6500</v>
      </c>
      <c r="H223" s="4" t="n">
        <f aca="false">F223*G223</f>
        <v>26000</v>
      </c>
    </row>
    <row r="224" customFormat="false" ht="15" hidden="false" customHeight="false" outlineLevel="0" collapsed="false">
      <c r="A224" s="3" t="s">
        <v>292</v>
      </c>
      <c r="B224" s="3" t="s">
        <v>289</v>
      </c>
      <c r="C224" s="3" t="s">
        <v>8</v>
      </c>
      <c r="D224" s="3" t="s">
        <v>26</v>
      </c>
      <c r="E224" s="3" t="s">
        <v>24</v>
      </c>
      <c r="F224" s="3" t="n">
        <v>5</v>
      </c>
      <c r="G224" s="4" t="n">
        <v>2500</v>
      </c>
      <c r="H224" s="4" t="n">
        <f aca="false">F224*G224</f>
        <v>12500</v>
      </c>
    </row>
    <row r="225" customFormat="false" ht="15" hidden="false" customHeight="false" outlineLevel="0" collapsed="false">
      <c r="A225" s="3" t="s">
        <v>293</v>
      </c>
      <c r="B225" s="3" t="s">
        <v>289</v>
      </c>
      <c r="C225" s="3" t="s">
        <v>6</v>
      </c>
      <c r="D225" s="3" t="s">
        <v>26</v>
      </c>
      <c r="E225" s="3" t="s">
        <v>24</v>
      </c>
      <c r="F225" s="3" t="n">
        <v>2</v>
      </c>
      <c r="G225" s="4" t="n">
        <v>2500</v>
      </c>
      <c r="H225" s="4" t="n">
        <f aca="false">F225*G225</f>
        <v>5000</v>
      </c>
    </row>
    <row r="226" customFormat="false" ht="15" hidden="false" customHeight="false" outlineLevel="0" collapsed="false">
      <c r="A226" s="3" t="s">
        <v>294</v>
      </c>
      <c r="B226" s="3" t="s">
        <v>289</v>
      </c>
      <c r="C226" s="3" t="s">
        <v>10</v>
      </c>
      <c r="D226" s="3" t="s">
        <v>34</v>
      </c>
      <c r="E226" s="3" t="s">
        <v>24</v>
      </c>
      <c r="F226" s="3" t="n">
        <v>2</v>
      </c>
      <c r="G226" s="4" t="n">
        <v>18500</v>
      </c>
      <c r="H226" s="4" t="n">
        <f aca="false">F226*G226</f>
        <v>37000</v>
      </c>
    </row>
    <row r="227" customFormat="false" ht="15" hidden="false" customHeight="false" outlineLevel="0" collapsed="false">
      <c r="A227" s="3" t="s">
        <v>295</v>
      </c>
      <c r="B227" s="3" t="s">
        <v>296</v>
      </c>
      <c r="C227" s="3" t="s">
        <v>6</v>
      </c>
      <c r="D227" s="3" t="s">
        <v>34</v>
      </c>
      <c r="E227" s="3" t="s">
        <v>27</v>
      </c>
      <c r="F227" s="3" t="n">
        <v>2</v>
      </c>
      <c r="G227" s="4" t="n">
        <v>18500</v>
      </c>
      <c r="H227" s="4" t="n">
        <f aca="false">F227*G227</f>
        <v>37000</v>
      </c>
    </row>
    <row r="228" customFormat="false" ht="15" hidden="false" customHeight="false" outlineLevel="0" collapsed="false">
      <c r="A228" s="3" t="s">
        <v>297</v>
      </c>
      <c r="B228" s="3" t="s">
        <v>296</v>
      </c>
      <c r="C228" s="3" t="s">
        <v>6</v>
      </c>
      <c r="D228" s="3" t="s">
        <v>31</v>
      </c>
      <c r="E228" s="3" t="s">
        <v>24</v>
      </c>
      <c r="F228" s="3" t="n">
        <v>1</v>
      </c>
      <c r="G228" s="4" t="n">
        <v>62000</v>
      </c>
      <c r="H228" s="4" t="n">
        <f aca="false">F228*G228</f>
        <v>62000</v>
      </c>
    </row>
    <row r="229" customFormat="false" ht="15" hidden="false" customHeight="false" outlineLevel="0" collapsed="false">
      <c r="A229" s="3" t="s">
        <v>298</v>
      </c>
      <c r="B229" s="3" t="s">
        <v>296</v>
      </c>
      <c r="C229" s="3" t="s">
        <v>6</v>
      </c>
      <c r="D229" s="3" t="s">
        <v>23</v>
      </c>
      <c r="E229" s="3" t="s">
        <v>24</v>
      </c>
      <c r="F229" s="3" t="n">
        <v>5</v>
      </c>
      <c r="G229" s="4" t="n">
        <v>6500</v>
      </c>
      <c r="H229" s="4" t="n">
        <f aca="false">F229*G229</f>
        <v>32500</v>
      </c>
    </row>
    <row r="230" customFormat="false" ht="15" hidden="false" customHeight="false" outlineLevel="0" collapsed="false">
      <c r="A230" s="3" t="s">
        <v>299</v>
      </c>
      <c r="B230" s="3" t="s">
        <v>296</v>
      </c>
      <c r="C230" s="3" t="s">
        <v>11</v>
      </c>
      <c r="D230" s="3" t="s">
        <v>31</v>
      </c>
      <c r="E230" s="3" t="s">
        <v>27</v>
      </c>
      <c r="F230" s="3" t="n">
        <v>1</v>
      </c>
      <c r="G230" s="4" t="n">
        <v>62000</v>
      </c>
      <c r="H230" s="4" t="n">
        <f aca="false">F230*G230</f>
        <v>62000</v>
      </c>
    </row>
    <row r="231" customFormat="false" ht="15" hidden="false" customHeight="false" outlineLevel="0" collapsed="false">
      <c r="A231" s="3" t="s">
        <v>300</v>
      </c>
      <c r="B231" s="3" t="s">
        <v>296</v>
      </c>
      <c r="C231" s="3" t="s">
        <v>8</v>
      </c>
      <c r="D231" s="3" t="s">
        <v>26</v>
      </c>
      <c r="E231" s="3" t="s">
        <v>24</v>
      </c>
      <c r="F231" s="3" t="n">
        <v>1</v>
      </c>
      <c r="G231" s="4" t="n">
        <v>2500</v>
      </c>
      <c r="H231" s="4" t="n">
        <f aca="false">F231*G231</f>
        <v>2500</v>
      </c>
    </row>
    <row r="232" customFormat="false" ht="15" hidden="false" customHeight="false" outlineLevel="0" collapsed="false">
      <c r="A232" s="3" t="s">
        <v>301</v>
      </c>
      <c r="B232" s="3" t="s">
        <v>296</v>
      </c>
      <c r="C232" s="3" t="s">
        <v>8</v>
      </c>
      <c r="D232" s="3" t="s">
        <v>40</v>
      </c>
      <c r="E232" s="3" t="s">
        <v>27</v>
      </c>
      <c r="F232" s="3" t="n">
        <v>2</v>
      </c>
      <c r="G232" s="4" t="n">
        <v>28000</v>
      </c>
      <c r="H232" s="4" t="n">
        <f aca="false">F232*G232</f>
        <v>56000</v>
      </c>
    </row>
    <row r="233" customFormat="false" ht="15" hidden="false" customHeight="false" outlineLevel="0" collapsed="false">
      <c r="A233" s="3" t="s">
        <v>302</v>
      </c>
      <c r="B233" s="3" t="s">
        <v>296</v>
      </c>
      <c r="C233" s="3" t="s">
        <v>6</v>
      </c>
      <c r="D233" s="3" t="s">
        <v>31</v>
      </c>
      <c r="E233" s="3" t="s">
        <v>24</v>
      </c>
      <c r="F233" s="3" t="n">
        <v>2</v>
      </c>
      <c r="G233" s="4" t="n">
        <v>62000</v>
      </c>
      <c r="H233" s="4" t="n">
        <f aca="false">F233*G233</f>
        <v>124000</v>
      </c>
    </row>
    <row r="234" customFormat="false" ht="15" hidden="false" customHeight="false" outlineLevel="0" collapsed="false">
      <c r="A234" s="3" t="s">
        <v>303</v>
      </c>
      <c r="B234" s="3" t="s">
        <v>304</v>
      </c>
      <c r="C234" s="3" t="s">
        <v>6</v>
      </c>
      <c r="D234" s="3" t="s">
        <v>40</v>
      </c>
      <c r="E234" s="3" t="s">
        <v>24</v>
      </c>
      <c r="F234" s="3" t="n">
        <v>1</v>
      </c>
      <c r="G234" s="4" t="n">
        <v>28000</v>
      </c>
      <c r="H234" s="4" t="n">
        <f aca="false">F234*G234</f>
        <v>28000</v>
      </c>
    </row>
    <row r="235" customFormat="false" ht="15" hidden="false" customHeight="false" outlineLevel="0" collapsed="false">
      <c r="A235" s="3" t="s">
        <v>305</v>
      </c>
      <c r="B235" s="3" t="s">
        <v>304</v>
      </c>
      <c r="C235" s="3" t="s">
        <v>8</v>
      </c>
      <c r="D235" s="3" t="s">
        <v>34</v>
      </c>
      <c r="E235" s="3" t="s">
        <v>24</v>
      </c>
      <c r="F235" s="3" t="n">
        <v>1</v>
      </c>
      <c r="G235" s="4" t="n">
        <v>18500</v>
      </c>
      <c r="H235" s="4" t="n">
        <f aca="false">F235*G235</f>
        <v>18500</v>
      </c>
    </row>
    <row r="236" customFormat="false" ht="15" hidden="false" customHeight="false" outlineLevel="0" collapsed="false">
      <c r="A236" s="3" t="s">
        <v>306</v>
      </c>
      <c r="B236" s="3" t="s">
        <v>304</v>
      </c>
      <c r="C236" s="3" t="s">
        <v>8</v>
      </c>
      <c r="D236" s="3" t="s">
        <v>40</v>
      </c>
      <c r="E236" s="3" t="s">
        <v>24</v>
      </c>
      <c r="F236" s="3" t="n">
        <v>2</v>
      </c>
      <c r="G236" s="4" t="n">
        <v>28000</v>
      </c>
      <c r="H236" s="4" t="n">
        <f aca="false">F236*G236</f>
        <v>56000</v>
      </c>
    </row>
    <row r="237" customFormat="false" ht="15" hidden="false" customHeight="false" outlineLevel="0" collapsed="false">
      <c r="A237" s="3" t="s">
        <v>307</v>
      </c>
      <c r="B237" s="3" t="s">
        <v>304</v>
      </c>
      <c r="C237" s="3" t="s">
        <v>10</v>
      </c>
      <c r="D237" s="3" t="s">
        <v>34</v>
      </c>
      <c r="E237" s="3" t="s">
        <v>27</v>
      </c>
      <c r="F237" s="3" t="n">
        <v>2</v>
      </c>
      <c r="G237" s="4" t="n">
        <v>18500</v>
      </c>
      <c r="H237" s="4" t="n">
        <f aca="false">F237*G237</f>
        <v>37000</v>
      </c>
    </row>
    <row r="238" customFormat="false" ht="15" hidden="false" customHeight="false" outlineLevel="0" collapsed="false">
      <c r="A238" s="3" t="s">
        <v>308</v>
      </c>
      <c r="B238" s="3" t="s">
        <v>304</v>
      </c>
      <c r="C238" s="3" t="s">
        <v>12</v>
      </c>
      <c r="D238" s="3" t="s">
        <v>34</v>
      </c>
      <c r="E238" s="3" t="s">
        <v>27</v>
      </c>
      <c r="F238" s="3" t="n">
        <v>2</v>
      </c>
      <c r="G238" s="4" t="n">
        <v>18500</v>
      </c>
      <c r="H238" s="4" t="n">
        <f aca="false">F238*G238</f>
        <v>37000</v>
      </c>
    </row>
    <row r="239" customFormat="false" ht="15" hidden="false" customHeight="false" outlineLevel="0" collapsed="false">
      <c r="A239" s="3" t="s">
        <v>309</v>
      </c>
      <c r="B239" s="3" t="s">
        <v>310</v>
      </c>
      <c r="C239" s="3" t="s">
        <v>10</v>
      </c>
      <c r="D239" s="3" t="s">
        <v>34</v>
      </c>
      <c r="E239" s="3" t="s">
        <v>24</v>
      </c>
      <c r="F239" s="3" t="n">
        <v>2</v>
      </c>
      <c r="G239" s="4" t="n">
        <v>18500</v>
      </c>
      <c r="H239" s="4" t="n">
        <f aca="false">F239*G239</f>
        <v>37000</v>
      </c>
    </row>
    <row r="240" customFormat="false" ht="15" hidden="false" customHeight="false" outlineLevel="0" collapsed="false">
      <c r="A240" s="3" t="s">
        <v>311</v>
      </c>
      <c r="B240" s="3" t="s">
        <v>310</v>
      </c>
      <c r="C240" s="3" t="s">
        <v>10</v>
      </c>
      <c r="D240" s="3" t="s">
        <v>23</v>
      </c>
      <c r="E240" s="3" t="s">
        <v>24</v>
      </c>
      <c r="F240" s="3" t="n">
        <v>5</v>
      </c>
      <c r="G240" s="4" t="n">
        <v>6500</v>
      </c>
      <c r="H240" s="4" t="n">
        <f aca="false">F240*G240</f>
        <v>32500</v>
      </c>
    </row>
    <row r="241" customFormat="false" ht="15" hidden="false" customHeight="false" outlineLevel="0" collapsed="false">
      <c r="A241" s="3" t="s">
        <v>312</v>
      </c>
      <c r="B241" s="3" t="s">
        <v>310</v>
      </c>
      <c r="C241" s="3" t="s">
        <v>6</v>
      </c>
      <c r="D241" s="3" t="s">
        <v>34</v>
      </c>
      <c r="E241" s="3" t="s">
        <v>27</v>
      </c>
      <c r="F241" s="3" t="n">
        <v>1</v>
      </c>
      <c r="G241" s="4" t="n">
        <v>18500</v>
      </c>
      <c r="H241" s="4" t="n">
        <f aca="false">F241*G241</f>
        <v>18500</v>
      </c>
    </row>
    <row r="242" customFormat="false" ht="15" hidden="false" customHeight="false" outlineLevel="0" collapsed="false">
      <c r="A242" s="3" t="s">
        <v>313</v>
      </c>
      <c r="B242" s="3" t="s">
        <v>310</v>
      </c>
      <c r="C242" s="3" t="s">
        <v>12</v>
      </c>
      <c r="D242" s="3" t="s">
        <v>34</v>
      </c>
      <c r="E242" s="3" t="s">
        <v>24</v>
      </c>
      <c r="F242" s="3" t="n">
        <v>2</v>
      </c>
      <c r="G242" s="4" t="n">
        <v>18500</v>
      </c>
      <c r="H242" s="4" t="n">
        <f aca="false">F242*G242</f>
        <v>37000</v>
      </c>
    </row>
    <row r="243" customFormat="false" ht="15" hidden="false" customHeight="false" outlineLevel="0" collapsed="false">
      <c r="A243" s="3" t="s">
        <v>314</v>
      </c>
      <c r="B243" s="3" t="s">
        <v>310</v>
      </c>
      <c r="C243" s="3" t="s">
        <v>6</v>
      </c>
      <c r="D243" s="3" t="s">
        <v>26</v>
      </c>
      <c r="E243" s="3" t="s">
        <v>27</v>
      </c>
      <c r="F243" s="3" t="n">
        <v>1</v>
      </c>
      <c r="G243" s="4" t="n">
        <v>2500</v>
      </c>
      <c r="H243" s="4" t="n">
        <f aca="false">F243*G243</f>
        <v>2500</v>
      </c>
    </row>
    <row r="244" customFormat="false" ht="15" hidden="false" customHeight="false" outlineLevel="0" collapsed="false">
      <c r="A244" s="3" t="s">
        <v>315</v>
      </c>
      <c r="B244" s="3" t="s">
        <v>310</v>
      </c>
      <c r="C244" s="3" t="s">
        <v>8</v>
      </c>
      <c r="D244" s="3" t="s">
        <v>26</v>
      </c>
      <c r="E244" s="3" t="s">
        <v>27</v>
      </c>
      <c r="F244" s="3" t="n">
        <v>1</v>
      </c>
      <c r="G244" s="4" t="n">
        <v>2500</v>
      </c>
      <c r="H244" s="4" t="n">
        <f aca="false">F244*G244</f>
        <v>2500</v>
      </c>
    </row>
    <row r="245" customFormat="false" ht="15" hidden="false" customHeight="false" outlineLevel="0" collapsed="false">
      <c r="A245" s="3" t="s">
        <v>316</v>
      </c>
      <c r="B245" s="3" t="s">
        <v>310</v>
      </c>
      <c r="C245" s="3" t="s">
        <v>10</v>
      </c>
      <c r="D245" s="3" t="s">
        <v>26</v>
      </c>
      <c r="E245" s="3" t="s">
        <v>27</v>
      </c>
      <c r="F245" s="3" t="n">
        <v>5</v>
      </c>
      <c r="G245" s="4" t="n">
        <v>2500</v>
      </c>
      <c r="H245" s="4" t="n">
        <f aca="false">F245*G245</f>
        <v>12500</v>
      </c>
    </row>
    <row r="246" customFormat="false" ht="15" hidden="false" customHeight="false" outlineLevel="0" collapsed="false">
      <c r="A246" s="3" t="s">
        <v>317</v>
      </c>
      <c r="B246" s="3" t="s">
        <v>310</v>
      </c>
      <c r="C246" s="3" t="s">
        <v>12</v>
      </c>
      <c r="D246" s="3" t="s">
        <v>26</v>
      </c>
      <c r="E246" s="3" t="s">
        <v>24</v>
      </c>
      <c r="F246" s="3" t="n">
        <v>5</v>
      </c>
      <c r="G246" s="4" t="n">
        <v>2500</v>
      </c>
      <c r="H246" s="4" t="n">
        <f aca="false">F246*G246</f>
        <v>12500</v>
      </c>
    </row>
    <row r="247" customFormat="false" ht="15" hidden="false" customHeight="false" outlineLevel="0" collapsed="false">
      <c r="A247" s="3" t="s">
        <v>318</v>
      </c>
      <c r="B247" s="3" t="s">
        <v>310</v>
      </c>
      <c r="C247" s="3" t="s">
        <v>6</v>
      </c>
      <c r="D247" s="3" t="s">
        <v>31</v>
      </c>
      <c r="E247" s="3" t="s">
        <v>24</v>
      </c>
      <c r="F247" s="3" t="n">
        <v>2</v>
      </c>
      <c r="G247" s="4" t="n">
        <v>62000</v>
      </c>
      <c r="H247" s="4" t="n">
        <f aca="false">F247*G247</f>
        <v>124000</v>
      </c>
    </row>
    <row r="248" customFormat="false" ht="15" hidden="false" customHeight="false" outlineLevel="0" collapsed="false">
      <c r="A248" s="3" t="s">
        <v>319</v>
      </c>
      <c r="B248" s="3" t="s">
        <v>320</v>
      </c>
      <c r="C248" s="3" t="s">
        <v>11</v>
      </c>
      <c r="D248" s="3" t="s">
        <v>26</v>
      </c>
      <c r="E248" s="3" t="s">
        <v>24</v>
      </c>
      <c r="F248" s="3" t="n">
        <v>3</v>
      </c>
      <c r="G248" s="4" t="n">
        <v>2500</v>
      </c>
      <c r="H248" s="4" t="n">
        <f aca="false">F248*G248</f>
        <v>7500</v>
      </c>
    </row>
    <row r="249" customFormat="false" ht="15" hidden="false" customHeight="false" outlineLevel="0" collapsed="false">
      <c r="A249" s="3" t="s">
        <v>321</v>
      </c>
      <c r="B249" s="3" t="s">
        <v>320</v>
      </c>
      <c r="C249" s="3" t="s">
        <v>10</v>
      </c>
      <c r="D249" s="3" t="s">
        <v>23</v>
      </c>
      <c r="E249" s="3" t="s">
        <v>27</v>
      </c>
      <c r="F249" s="3" t="n">
        <v>4</v>
      </c>
      <c r="G249" s="4" t="n">
        <v>6500</v>
      </c>
      <c r="H249" s="4" t="n">
        <f aca="false">F249*G249</f>
        <v>26000</v>
      </c>
    </row>
    <row r="250" customFormat="false" ht="15" hidden="false" customHeight="false" outlineLevel="0" collapsed="false">
      <c r="A250" s="3" t="s">
        <v>322</v>
      </c>
      <c r="B250" s="3" t="s">
        <v>320</v>
      </c>
      <c r="C250" s="3" t="s">
        <v>11</v>
      </c>
      <c r="D250" s="3" t="s">
        <v>34</v>
      </c>
      <c r="E250" s="3" t="s">
        <v>24</v>
      </c>
      <c r="F250" s="3" t="n">
        <v>2</v>
      </c>
      <c r="G250" s="4" t="n">
        <v>18500</v>
      </c>
      <c r="H250" s="4" t="n">
        <f aca="false">F250*G250</f>
        <v>37000</v>
      </c>
    </row>
    <row r="251" customFormat="false" ht="15" hidden="false" customHeight="false" outlineLevel="0" collapsed="false">
      <c r="A251" s="3" t="s">
        <v>323</v>
      </c>
      <c r="B251" s="3" t="s">
        <v>324</v>
      </c>
      <c r="C251" s="3" t="s">
        <v>6</v>
      </c>
      <c r="D251" s="3" t="s">
        <v>23</v>
      </c>
      <c r="E251" s="3" t="s">
        <v>24</v>
      </c>
      <c r="F251" s="3" t="n">
        <v>4</v>
      </c>
      <c r="G251" s="4" t="n">
        <v>6500</v>
      </c>
      <c r="H251" s="4" t="n">
        <f aca="false">F251*G251</f>
        <v>26000</v>
      </c>
    </row>
    <row r="252" customFormat="false" ht="15" hidden="false" customHeight="false" outlineLevel="0" collapsed="false">
      <c r="A252" s="3" t="s">
        <v>325</v>
      </c>
      <c r="B252" s="3" t="s">
        <v>324</v>
      </c>
      <c r="C252" s="3" t="s">
        <v>6</v>
      </c>
      <c r="D252" s="3" t="s">
        <v>26</v>
      </c>
      <c r="E252" s="3" t="s">
        <v>24</v>
      </c>
      <c r="F252" s="3" t="n">
        <v>4</v>
      </c>
      <c r="G252" s="4" t="n">
        <v>2500</v>
      </c>
      <c r="H252" s="4" t="n">
        <f aca="false">F252*G252</f>
        <v>10000</v>
      </c>
    </row>
    <row r="253" customFormat="false" ht="15" hidden="false" customHeight="false" outlineLevel="0" collapsed="false">
      <c r="A253" s="3" t="s">
        <v>326</v>
      </c>
      <c r="B253" s="3" t="s">
        <v>324</v>
      </c>
      <c r="C253" s="3" t="s">
        <v>6</v>
      </c>
      <c r="D253" s="3" t="s">
        <v>34</v>
      </c>
      <c r="E253" s="3" t="s">
        <v>24</v>
      </c>
      <c r="F253" s="3" t="n">
        <v>1</v>
      </c>
      <c r="G253" s="4" t="n">
        <v>18500</v>
      </c>
      <c r="H253" s="4" t="n">
        <f aca="false">F253*G253</f>
        <v>18500</v>
      </c>
    </row>
    <row r="254" customFormat="false" ht="15" hidden="false" customHeight="false" outlineLevel="0" collapsed="false">
      <c r="A254" s="3" t="s">
        <v>327</v>
      </c>
      <c r="B254" s="3" t="s">
        <v>324</v>
      </c>
      <c r="C254" s="3" t="s">
        <v>6</v>
      </c>
      <c r="D254" s="3" t="s">
        <v>34</v>
      </c>
      <c r="E254" s="3" t="s">
        <v>24</v>
      </c>
      <c r="F254" s="3" t="n">
        <v>1</v>
      </c>
      <c r="G254" s="4" t="n">
        <v>18500</v>
      </c>
      <c r="H254" s="4" t="n">
        <f aca="false">F254*G254</f>
        <v>18500</v>
      </c>
    </row>
    <row r="255" customFormat="false" ht="15" hidden="false" customHeight="false" outlineLevel="0" collapsed="false">
      <c r="A255" s="3" t="s">
        <v>328</v>
      </c>
      <c r="B255" s="3" t="s">
        <v>324</v>
      </c>
      <c r="C255" s="3" t="s">
        <v>8</v>
      </c>
      <c r="D255" s="3" t="s">
        <v>29</v>
      </c>
      <c r="E255" s="3" t="s">
        <v>27</v>
      </c>
      <c r="F255" s="3" t="n">
        <v>1</v>
      </c>
      <c r="G255" s="4" t="n">
        <v>45000</v>
      </c>
      <c r="H255" s="4" t="n">
        <f aca="false">F255*G255</f>
        <v>45000</v>
      </c>
    </row>
    <row r="256" customFormat="false" ht="15" hidden="false" customHeight="false" outlineLevel="0" collapsed="false">
      <c r="A256" s="3" t="s">
        <v>329</v>
      </c>
      <c r="B256" s="3" t="s">
        <v>330</v>
      </c>
      <c r="C256" s="3" t="s">
        <v>8</v>
      </c>
      <c r="D256" s="3" t="s">
        <v>26</v>
      </c>
      <c r="E256" s="3" t="s">
        <v>27</v>
      </c>
      <c r="F256" s="3" t="n">
        <v>2</v>
      </c>
      <c r="G256" s="4" t="n">
        <v>2500</v>
      </c>
      <c r="H256" s="4" t="n">
        <f aca="false">F256*G256</f>
        <v>5000</v>
      </c>
    </row>
    <row r="257" customFormat="false" ht="15" hidden="false" customHeight="false" outlineLevel="0" collapsed="false">
      <c r="A257" s="3" t="s">
        <v>331</v>
      </c>
      <c r="B257" s="3" t="s">
        <v>330</v>
      </c>
      <c r="C257" s="3" t="s">
        <v>8</v>
      </c>
      <c r="D257" s="3" t="s">
        <v>34</v>
      </c>
      <c r="E257" s="3" t="s">
        <v>24</v>
      </c>
      <c r="F257" s="3" t="n">
        <v>1</v>
      </c>
      <c r="G257" s="4" t="n">
        <v>18500</v>
      </c>
      <c r="H257" s="4" t="n">
        <f aca="false">F257*G257</f>
        <v>18500</v>
      </c>
    </row>
    <row r="258" customFormat="false" ht="15" hidden="false" customHeight="false" outlineLevel="0" collapsed="false">
      <c r="A258" s="3" t="s">
        <v>332</v>
      </c>
      <c r="B258" s="3" t="s">
        <v>330</v>
      </c>
      <c r="C258" s="3" t="s">
        <v>6</v>
      </c>
      <c r="D258" s="3" t="s">
        <v>26</v>
      </c>
      <c r="E258" s="3" t="s">
        <v>24</v>
      </c>
      <c r="F258" s="3" t="n">
        <v>1</v>
      </c>
      <c r="G258" s="4" t="n">
        <v>2500</v>
      </c>
      <c r="H258" s="4" t="n">
        <f aca="false">F258*G258</f>
        <v>2500</v>
      </c>
    </row>
    <row r="259" customFormat="false" ht="15" hidden="false" customHeight="false" outlineLevel="0" collapsed="false">
      <c r="A259" s="3" t="s">
        <v>333</v>
      </c>
      <c r="B259" s="3" t="s">
        <v>330</v>
      </c>
      <c r="C259" s="3" t="s">
        <v>6</v>
      </c>
      <c r="D259" s="3" t="s">
        <v>26</v>
      </c>
      <c r="E259" s="3" t="s">
        <v>27</v>
      </c>
      <c r="F259" s="3" t="n">
        <v>5</v>
      </c>
      <c r="G259" s="4" t="n">
        <v>2500</v>
      </c>
      <c r="H259" s="4" t="n">
        <f aca="false">F259*G259</f>
        <v>12500</v>
      </c>
    </row>
    <row r="260" customFormat="false" ht="15" hidden="false" customHeight="false" outlineLevel="0" collapsed="false">
      <c r="A260" s="3" t="s">
        <v>334</v>
      </c>
      <c r="B260" s="3" t="s">
        <v>330</v>
      </c>
      <c r="C260" s="3" t="s">
        <v>8</v>
      </c>
      <c r="D260" s="3" t="s">
        <v>23</v>
      </c>
      <c r="E260" s="3" t="s">
        <v>24</v>
      </c>
      <c r="F260" s="3" t="n">
        <v>2</v>
      </c>
      <c r="G260" s="4" t="n">
        <v>6500</v>
      </c>
      <c r="H260" s="4" t="n">
        <f aca="false">F260*G260</f>
        <v>13000</v>
      </c>
    </row>
    <row r="261" customFormat="false" ht="15" hidden="false" customHeight="false" outlineLevel="0" collapsed="false">
      <c r="A261" s="3" t="s">
        <v>335</v>
      </c>
      <c r="B261" s="3" t="s">
        <v>330</v>
      </c>
      <c r="C261" s="3" t="s">
        <v>6</v>
      </c>
      <c r="D261" s="3" t="s">
        <v>26</v>
      </c>
      <c r="E261" s="3" t="s">
        <v>24</v>
      </c>
      <c r="F261" s="3" t="n">
        <v>4</v>
      </c>
      <c r="G261" s="4" t="n">
        <v>2500</v>
      </c>
      <c r="H261" s="4" t="n">
        <f aca="false">F261*G261</f>
        <v>10000</v>
      </c>
    </row>
    <row r="262" customFormat="false" ht="15" hidden="false" customHeight="false" outlineLevel="0" collapsed="false">
      <c r="A262" s="3" t="s">
        <v>336</v>
      </c>
      <c r="B262" s="3" t="s">
        <v>337</v>
      </c>
      <c r="C262" s="3" t="s">
        <v>10</v>
      </c>
      <c r="D262" s="3" t="s">
        <v>23</v>
      </c>
      <c r="E262" s="3" t="s">
        <v>27</v>
      </c>
      <c r="F262" s="3" t="n">
        <v>3</v>
      </c>
      <c r="G262" s="4" t="n">
        <v>6500</v>
      </c>
      <c r="H262" s="4" t="n">
        <f aca="false">F262*G262</f>
        <v>19500</v>
      </c>
    </row>
    <row r="263" customFormat="false" ht="15" hidden="false" customHeight="false" outlineLevel="0" collapsed="false">
      <c r="A263" s="3" t="s">
        <v>338</v>
      </c>
      <c r="B263" s="3" t="s">
        <v>337</v>
      </c>
      <c r="C263" s="3" t="s">
        <v>6</v>
      </c>
      <c r="D263" s="3" t="s">
        <v>34</v>
      </c>
      <c r="E263" s="3" t="s">
        <v>24</v>
      </c>
      <c r="F263" s="3" t="n">
        <v>1</v>
      </c>
      <c r="G263" s="4" t="n">
        <v>18500</v>
      </c>
      <c r="H263" s="4" t="n">
        <f aca="false">F263*G263</f>
        <v>18500</v>
      </c>
    </row>
    <row r="264" customFormat="false" ht="15" hidden="false" customHeight="false" outlineLevel="0" collapsed="false">
      <c r="A264" s="3" t="s">
        <v>339</v>
      </c>
      <c r="B264" s="3" t="s">
        <v>340</v>
      </c>
      <c r="C264" s="3" t="s">
        <v>6</v>
      </c>
      <c r="D264" s="3" t="s">
        <v>31</v>
      </c>
      <c r="E264" s="3" t="s">
        <v>27</v>
      </c>
      <c r="F264" s="3" t="n">
        <v>1</v>
      </c>
      <c r="G264" s="4" t="n">
        <v>62000</v>
      </c>
      <c r="H264" s="4" t="n">
        <f aca="false">F264*G264</f>
        <v>62000</v>
      </c>
    </row>
    <row r="265" customFormat="false" ht="15" hidden="false" customHeight="false" outlineLevel="0" collapsed="false">
      <c r="A265" s="3" t="s">
        <v>341</v>
      </c>
      <c r="B265" s="3" t="s">
        <v>340</v>
      </c>
      <c r="C265" s="3" t="s">
        <v>10</v>
      </c>
      <c r="D265" s="3" t="s">
        <v>40</v>
      </c>
      <c r="E265" s="3" t="s">
        <v>27</v>
      </c>
      <c r="F265" s="3" t="n">
        <v>1</v>
      </c>
      <c r="G265" s="4" t="n">
        <v>28000</v>
      </c>
      <c r="H265" s="4" t="n">
        <f aca="false">F265*G265</f>
        <v>28000</v>
      </c>
    </row>
    <row r="266" customFormat="false" ht="15" hidden="false" customHeight="false" outlineLevel="0" collapsed="false">
      <c r="A266" s="3" t="s">
        <v>342</v>
      </c>
      <c r="B266" s="3" t="s">
        <v>340</v>
      </c>
      <c r="C266" s="3" t="s">
        <v>6</v>
      </c>
      <c r="D266" s="3" t="s">
        <v>26</v>
      </c>
      <c r="E266" s="3" t="s">
        <v>24</v>
      </c>
      <c r="F266" s="3" t="n">
        <v>5</v>
      </c>
      <c r="G266" s="4" t="n">
        <v>2500</v>
      </c>
      <c r="H266" s="4" t="n">
        <f aca="false">F266*G266</f>
        <v>12500</v>
      </c>
    </row>
    <row r="267" customFormat="false" ht="15" hidden="false" customHeight="false" outlineLevel="0" collapsed="false">
      <c r="A267" s="3" t="s">
        <v>343</v>
      </c>
      <c r="B267" s="3" t="s">
        <v>340</v>
      </c>
      <c r="C267" s="3" t="s">
        <v>8</v>
      </c>
      <c r="D267" s="3" t="s">
        <v>26</v>
      </c>
      <c r="E267" s="3" t="s">
        <v>27</v>
      </c>
      <c r="F267" s="3" t="n">
        <v>3</v>
      </c>
      <c r="G267" s="4" t="n">
        <v>2500</v>
      </c>
      <c r="H267" s="4" t="n">
        <f aca="false">F267*G267</f>
        <v>7500</v>
      </c>
    </row>
    <row r="268" customFormat="false" ht="15" hidden="false" customHeight="false" outlineLevel="0" collapsed="false">
      <c r="A268" s="3" t="s">
        <v>344</v>
      </c>
      <c r="B268" s="3" t="s">
        <v>345</v>
      </c>
      <c r="C268" s="3" t="s">
        <v>12</v>
      </c>
      <c r="D268" s="3" t="s">
        <v>26</v>
      </c>
      <c r="E268" s="3" t="s">
        <v>27</v>
      </c>
      <c r="F268" s="3" t="n">
        <v>1</v>
      </c>
      <c r="G268" s="4" t="n">
        <v>2500</v>
      </c>
      <c r="H268" s="4" t="n">
        <f aca="false">F268*G268</f>
        <v>2500</v>
      </c>
    </row>
    <row r="269" customFormat="false" ht="15" hidden="false" customHeight="false" outlineLevel="0" collapsed="false">
      <c r="A269" s="3" t="s">
        <v>346</v>
      </c>
      <c r="B269" s="3" t="s">
        <v>345</v>
      </c>
      <c r="C269" s="3" t="s">
        <v>6</v>
      </c>
      <c r="D269" s="3" t="s">
        <v>34</v>
      </c>
      <c r="E269" s="3" t="s">
        <v>24</v>
      </c>
      <c r="F269" s="3" t="n">
        <v>1</v>
      </c>
      <c r="G269" s="4" t="n">
        <v>18500</v>
      </c>
      <c r="H269" s="4" t="n">
        <f aca="false">F269*G269</f>
        <v>18500</v>
      </c>
    </row>
    <row r="270" customFormat="false" ht="15" hidden="false" customHeight="false" outlineLevel="0" collapsed="false">
      <c r="A270" s="3" t="s">
        <v>347</v>
      </c>
      <c r="B270" s="3" t="s">
        <v>345</v>
      </c>
      <c r="C270" s="3" t="s">
        <v>8</v>
      </c>
      <c r="D270" s="3" t="s">
        <v>23</v>
      </c>
      <c r="E270" s="3" t="s">
        <v>24</v>
      </c>
      <c r="F270" s="3" t="n">
        <v>3</v>
      </c>
      <c r="G270" s="4" t="n">
        <v>6500</v>
      </c>
      <c r="H270" s="4" t="n">
        <f aca="false">F270*G270</f>
        <v>19500</v>
      </c>
    </row>
    <row r="271" customFormat="false" ht="15" hidden="false" customHeight="false" outlineLevel="0" collapsed="false">
      <c r="A271" s="3" t="s">
        <v>348</v>
      </c>
      <c r="B271" s="3" t="s">
        <v>345</v>
      </c>
      <c r="C271" s="3" t="s">
        <v>12</v>
      </c>
      <c r="D271" s="3" t="s">
        <v>23</v>
      </c>
      <c r="E271" s="3" t="s">
        <v>24</v>
      </c>
      <c r="F271" s="3" t="n">
        <v>2</v>
      </c>
      <c r="G271" s="4" t="n">
        <v>6500</v>
      </c>
      <c r="H271" s="4" t="n">
        <f aca="false">F271*G271</f>
        <v>13000</v>
      </c>
    </row>
    <row r="272" customFormat="false" ht="15" hidden="false" customHeight="false" outlineLevel="0" collapsed="false">
      <c r="A272" s="3" t="s">
        <v>349</v>
      </c>
      <c r="B272" s="3" t="s">
        <v>350</v>
      </c>
      <c r="C272" s="3" t="s">
        <v>11</v>
      </c>
      <c r="D272" s="3" t="s">
        <v>34</v>
      </c>
      <c r="E272" s="3" t="s">
        <v>27</v>
      </c>
      <c r="F272" s="3" t="n">
        <v>2</v>
      </c>
      <c r="G272" s="4" t="n">
        <v>18500</v>
      </c>
      <c r="H272" s="4" t="n">
        <f aca="false">F272*G272</f>
        <v>37000</v>
      </c>
    </row>
    <row r="273" customFormat="false" ht="15" hidden="false" customHeight="false" outlineLevel="0" collapsed="false">
      <c r="A273" s="3" t="s">
        <v>351</v>
      </c>
      <c r="B273" s="3" t="s">
        <v>350</v>
      </c>
      <c r="C273" s="3" t="s">
        <v>10</v>
      </c>
      <c r="D273" s="3" t="s">
        <v>29</v>
      </c>
      <c r="E273" s="3" t="s">
        <v>24</v>
      </c>
      <c r="F273" s="3" t="n">
        <v>1</v>
      </c>
      <c r="G273" s="4" t="n">
        <v>45000</v>
      </c>
      <c r="H273" s="4" t="n">
        <f aca="false">F273*G273</f>
        <v>45000</v>
      </c>
    </row>
    <row r="274" customFormat="false" ht="15" hidden="false" customHeight="false" outlineLevel="0" collapsed="false">
      <c r="A274" s="3" t="s">
        <v>352</v>
      </c>
      <c r="B274" s="3" t="s">
        <v>350</v>
      </c>
      <c r="C274" s="3" t="s">
        <v>10</v>
      </c>
      <c r="D274" s="3" t="s">
        <v>23</v>
      </c>
      <c r="E274" s="3" t="s">
        <v>27</v>
      </c>
      <c r="F274" s="3" t="n">
        <v>1</v>
      </c>
      <c r="G274" s="4" t="n">
        <v>6500</v>
      </c>
      <c r="H274" s="4" t="n">
        <f aca="false">F274*G274</f>
        <v>6500</v>
      </c>
    </row>
    <row r="275" customFormat="false" ht="15" hidden="false" customHeight="false" outlineLevel="0" collapsed="false">
      <c r="A275" s="3" t="s">
        <v>353</v>
      </c>
      <c r="B275" s="3" t="s">
        <v>350</v>
      </c>
      <c r="C275" s="3" t="s">
        <v>6</v>
      </c>
      <c r="D275" s="3" t="s">
        <v>23</v>
      </c>
      <c r="E275" s="3" t="s">
        <v>24</v>
      </c>
      <c r="F275" s="3" t="n">
        <v>5</v>
      </c>
      <c r="G275" s="4" t="n">
        <v>6500</v>
      </c>
      <c r="H275" s="4" t="n">
        <f aca="false">F275*G275</f>
        <v>32500</v>
      </c>
    </row>
    <row r="276" customFormat="false" ht="15" hidden="false" customHeight="false" outlineLevel="0" collapsed="false">
      <c r="A276" s="3" t="s">
        <v>354</v>
      </c>
      <c r="B276" s="3" t="s">
        <v>350</v>
      </c>
      <c r="C276" s="3" t="s">
        <v>8</v>
      </c>
      <c r="D276" s="3" t="s">
        <v>23</v>
      </c>
      <c r="E276" s="3" t="s">
        <v>24</v>
      </c>
      <c r="F276" s="3" t="n">
        <v>3</v>
      </c>
      <c r="G276" s="4" t="n">
        <v>6500</v>
      </c>
      <c r="H276" s="4" t="n">
        <f aca="false">F276*G276</f>
        <v>19500</v>
      </c>
    </row>
    <row r="277" customFormat="false" ht="15" hidden="false" customHeight="false" outlineLevel="0" collapsed="false">
      <c r="A277" s="3" t="s">
        <v>355</v>
      </c>
      <c r="B277" s="3" t="s">
        <v>350</v>
      </c>
      <c r="C277" s="3" t="s">
        <v>10</v>
      </c>
      <c r="D277" s="3" t="s">
        <v>29</v>
      </c>
      <c r="E277" s="3" t="s">
        <v>24</v>
      </c>
      <c r="F277" s="3" t="n">
        <v>2</v>
      </c>
      <c r="G277" s="4" t="n">
        <v>45000</v>
      </c>
      <c r="H277" s="4" t="n">
        <f aca="false">F277*G277</f>
        <v>90000</v>
      </c>
    </row>
    <row r="278" customFormat="false" ht="15" hidden="false" customHeight="false" outlineLevel="0" collapsed="false">
      <c r="A278" s="3" t="s">
        <v>356</v>
      </c>
      <c r="B278" s="3" t="s">
        <v>350</v>
      </c>
      <c r="C278" s="3" t="s">
        <v>6</v>
      </c>
      <c r="D278" s="3" t="s">
        <v>23</v>
      </c>
      <c r="E278" s="3" t="s">
        <v>24</v>
      </c>
      <c r="F278" s="3" t="n">
        <v>4</v>
      </c>
      <c r="G278" s="4" t="n">
        <v>6500</v>
      </c>
      <c r="H278" s="4" t="n">
        <f aca="false">F278*G278</f>
        <v>26000</v>
      </c>
    </row>
    <row r="279" customFormat="false" ht="15" hidden="false" customHeight="false" outlineLevel="0" collapsed="false">
      <c r="A279" s="3" t="s">
        <v>357</v>
      </c>
      <c r="B279" s="3" t="s">
        <v>350</v>
      </c>
      <c r="C279" s="3" t="s">
        <v>8</v>
      </c>
      <c r="D279" s="3" t="s">
        <v>34</v>
      </c>
      <c r="E279" s="3" t="s">
        <v>27</v>
      </c>
      <c r="F279" s="3" t="n">
        <v>2</v>
      </c>
      <c r="G279" s="4" t="n">
        <v>18500</v>
      </c>
      <c r="H279" s="4" t="n">
        <f aca="false">F279*G279</f>
        <v>37000</v>
      </c>
    </row>
    <row r="280" customFormat="false" ht="15" hidden="false" customHeight="false" outlineLevel="0" collapsed="false">
      <c r="A280" s="3" t="s">
        <v>358</v>
      </c>
      <c r="B280" s="3" t="s">
        <v>350</v>
      </c>
      <c r="C280" s="3" t="s">
        <v>8</v>
      </c>
      <c r="D280" s="3" t="s">
        <v>29</v>
      </c>
      <c r="E280" s="3" t="s">
        <v>27</v>
      </c>
      <c r="F280" s="3" t="n">
        <v>2</v>
      </c>
      <c r="G280" s="4" t="n">
        <v>45000</v>
      </c>
      <c r="H280" s="4" t="n">
        <f aca="false">F280*G280</f>
        <v>90000</v>
      </c>
    </row>
    <row r="281" customFormat="false" ht="15" hidden="false" customHeight="false" outlineLevel="0" collapsed="false">
      <c r="A281" s="3" t="s">
        <v>359</v>
      </c>
      <c r="B281" s="3" t="s">
        <v>360</v>
      </c>
      <c r="C281" s="3" t="s">
        <v>11</v>
      </c>
      <c r="D281" s="3" t="s">
        <v>31</v>
      </c>
      <c r="E281" s="3" t="s">
        <v>24</v>
      </c>
      <c r="F281" s="3" t="n">
        <v>2</v>
      </c>
      <c r="G281" s="4" t="n">
        <v>62000</v>
      </c>
      <c r="H281" s="4" t="n">
        <f aca="false">F281*G281</f>
        <v>124000</v>
      </c>
    </row>
    <row r="282" customFormat="false" ht="15" hidden="false" customHeight="false" outlineLevel="0" collapsed="false">
      <c r="A282" s="3" t="s">
        <v>361</v>
      </c>
      <c r="B282" s="3" t="s">
        <v>360</v>
      </c>
      <c r="C282" s="3" t="s">
        <v>11</v>
      </c>
      <c r="D282" s="3" t="s">
        <v>40</v>
      </c>
      <c r="E282" s="3" t="s">
        <v>24</v>
      </c>
      <c r="F282" s="3" t="n">
        <v>1</v>
      </c>
      <c r="G282" s="4" t="n">
        <v>28000</v>
      </c>
      <c r="H282" s="4" t="n">
        <f aca="false">F282*G282</f>
        <v>28000</v>
      </c>
    </row>
    <row r="283" customFormat="false" ht="15" hidden="false" customHeight="false" outlineLevel="0" collapsed="false">
      <c r="A283" s="3" t="s">
        <v>362</v>
      </c>
      <c r="B283" s="3" t="s">
        <v>360</v>
      </c>
      <c r="C283" s="3" t="s">
        <v>12</v>
      </c>
      <c r="D283" s="3" t="s">
        <v>40</v>
      </c>
      <c r="E283" s="3" t="s">
        <v>24</v>
      </c>
      <c r="F283" s="3" t="n">
        <v>2</v>
      </c>
      <c r="G283" s="4" t="n">
        <v>28000</v>
      </c>
      <c r="H283" s="4" t="n">
        <f aca="false">F283*G283</f>
        <v>56000</v>
      </c>
    </row>
    <row r="284" customFormat="false" ht="15" hidden="false" customHeight="false" outlineLevel="0" collapsed="false">
      <c r="A284" s="3" t="s">
        <v>363</v>
      </c>
      <c r="B284" s="3" t="s">
        <v>360</v>
      </c>
      <c r="C284" s="3" t="s">
        <v>11</v>
      </c>
      <c r="D284" s="3" t="s">
        <v>34</v>
      </c>
      <c r="E284" s="3" t="s">
        <v>27</v>
      </c>
      <c r="F284" s="3" t="n">
        <v>2</v>
      </c>
      <c r="G284" s="4" t="n">
        <v>18500</v>
      </c>
      <c r="H284" s="4" t="n">
        <f aca="false">F284*G284</f>
        <v>37000</v>
      </c>
    </row>
    <row r="285" customFormat="false" ht="15" hidden="false" customHeight="false" outlineLevel="0" collapsed="false">
      <c r="A285" s="3" t="s">
        <v>364</v>
      </c>
      <c r="B285" s="3" t="s">
        <v>360</v>
      </c>
      <c r="C285" s="3" t="s">
        <v>10</v>
      </c>
      <c r="D285" s="3" t="s">
        <v>26</v>
      </c>
      <c r="E285" s="3" t="s">
        <v>24</v>
      </c>
      <c r="F285" s="3" t="n">
        <v>4</v>
      </c>
      <c r="G285" s="4" t="n">
        <v>2500</v>
      </c>
      <c r="H285" s="4" t="n">
        <f aca="false">F285*G285</f>
        <v>10000</v>
      </c>
    </row>
    <row r="286" customFormat="false" ht="15" hidden="false" customHeight="false" outlineLevel="0" collapsed="false">
      <c r="A286" s="3" t="s">
        <v>365</v>
      </c>
      <c r="B286" s="3" t="s">
        <v>360</v>
      </c>
      <c r="C286" s="3" t="s">
        <v>8</v>
      </c>
      <c r="D286" s="3" t="s">
        <v>34</v>
      </c>
      <c r="E286" s="3" t="s">
        <v>24</v>
      </c>
      <c r="F286" s="3" t="n">
        <v>1</v>
      </c>
      <c r="G286" s="4" t="n">
        <v>18500</v>
      </c>
      <c r="H286" s="4" t="n">
        <f aca="false">F286*G286</f>
        <v>18500</v>
      </c>
    </row>
    <row r="287" customFormat="false" ht="15" hidden="false" customHeight="false" outlineLevel="0" collapsed="false">
      <c r="A287" s="3" t="s">
        <v>366</v>
      </c>
      <c r="B287" s="3" t="s">
        <v>367</v>
      </c>
      <c r="C287" s="3" t="s">
        <v>6</v>
      </c>
      <c r="D287" s="3" t="s">
        <v>23</v>
      </c>
      <c r="E287" s="3" t="s">
        <v>27</v>
      </c>
      <c r="F287" s="3" t="n">
        <v>2</v>
      </c>
      <c r="G287" s="4" t="n">
        <v>6500</v>
      </c>
      <c r="H287" s="4" t="n">
        <f aca="false">F287*G287</f>
        <v>13000</v>
      </c>
    </row>
    <row r="288" customFormat="false" ht="15" hidden="false" customHeight="false" outlineLevel="0" collapsed="false">
      <c r="A288" s="3" t="s">
        <v>368</v>
      </c>
      <c r="B288" s="3" t="s">
        <v>367</v>
      </c>
      <c r="C288" s="3" t="s">
        <v>12</v>
      </c>
      <c r="D288" s="3" t="s">
        <v>23</v>
      </c>
      <c r="E288" s="3" t="s">
        <v>27</v>
      </c>
      <c r="F288" s="3" t="n">
        <v>1</v>
      </c>
      <c r="G288" s="4" t="n">
        <v>6500</v>
      </c>
      <c r="H288" s="4" t="n">
        <f aca="false">F288*G288</f>
        <v>6500</v>
      </c>
    </row>
    <row r="289" customFormat="false" ht="15" hidden="false" customHeight="false" outlineLevel="0" collapsed="false">
      <c r="A289" s="3" t="s">
        <v>369</v>
      </c>
      <c r="B289" s="3" t="s">
        <v>367</v>
      </c>
      <c r="C289" s="3" t="s">
        <v>8</v>
      </c>
      <c r="D289" s="3" t="s">
        <v>31</v>
      </c>
      <c r="E289" s="3" t="s">
        <v>24</v>
      </c>
      <c r="F289" s="3" t="n">
        <v>2</v>
      </c>
      <c r="G289" s="4" t="n">
        <v>62000</v>
      </c>
      <c r="H289" s="4" t="n">
        <f aca="false">F289*G289</f>
        <v>124000</v>
      </c>
    </row>
    <row r="290" customFormat="false" ht="15" hidden="false" customHeight="false" outlineLevel="0" collapsed="false">
      <c r="A290" s="3" t="s">
        <v>370</v>
      </c>
      <c r="B290" s="3" t="s">
        <v>367</v>
      </c>
      <c r="C290" s="3" t="s">
        <v>12</v>
      </c>
      <c r="D290" s="3" t="s">
        <v>34</v>
      </c>
      <c r="E290" s="3" t="s">
        <v>27</v>
      </c>
      <c r="F290" s="3" t="n">
        <v>1</v>
      </c>
      <c r="G290" s="4" t="n">
        <v>18500</v>
      </c>
      <c r="H290" s="4" t="n">
        <f aca="false">F290*G290</f>
        <v>18500</v>
      </c>
    </row>
    <row r="291" customFormat="false" ht="15" hidden="false" customHeight="false" outlineLevel="0" collapsed="false">
      <c r="A291" s="3" t="s">
        <v>371</v>
      </c>
      <c r="B291" s="3" t="s">
        <v>367</v>
      </c>
      <c r="C291" s="3" t="s">
        <v>6</v>
      </c>
      <c r="D291" s="3" t="s">
        <v>34</v>
      </c>
      <c r="E291" s="3" t="s">
        <v>27</v>
      </c>
      <c r="F291" s="3" t="n">
        <v>1</v>
      </c>
      <c r="G291" s="4" t="n">
        <v>18500</v>
      </c>
      <c r="H291" s="4" t="n">
        <f aca="false">F291*G291</f>
        <v>18500</v>
      </c>
    </row>
    <row r="292" customFormat="false" ht="15" hidden="false" customHeight="false" outlineLevel="0" collapsed="false">
      <c r="A292" s="3" t="s">
        <v>372</v>
      </c>
      <c r="B292" s="3" t="s">
        <v>373</v>
      </c>
      <c r="C292" s="3" t="s">
        <v>10</v>
      </c>
      <c r="D292" s="3" t="s">
        <v>23</v>
      </c>
      <c r="E292" s="3" t="s">
        <v>27</v>
      </c>
      <c r="F292" s="3" t="n">
        <v>3</v>
      </c>
      <c r="G292" s="4" t="n">
        <v>6500</v>
      </c>
      <c r="H292" s="4" t="n">
        <f aca="false">F292*G292</f>
        <v>19500</v>
      </c>
    </row>
    <row r="293" customFormat="false" ht="15" hidden="false" customHeight="false" outlineLevel="0" collapsed="false">
      <c r="A293" s="3" t="s">
        <v>374</v>
      </c>
      <c r="B293" s="3" t="s">
        <v>373</v>
      </c>
      <c r="C293" s="3" t="s">
        <v>8</v>
      </c>
      <c r="D293" s="3" t="s">
        <v>26</v>
      </c>
      <c r="E293" s="3" t="s">
        <v>24</v>
      </c>
      <c r="F293" s="3" t="n">
        <v>2</v>
      </c>
      <c r="G293" s="4" t="n">
        <v>2500</v>
      </c>
      <c r="H293" s="4" t="n">
        <f aca="false">F293*G293</f>
        <v>5000</v>
      </c>
    </row>
    <row r="294" customFormat="false" ht="15" hidden="false" customHeight="false" outlineLevel="0" collapsed="false">
      <c r="A294" s="3" t="s">
        <v>375</v>
      </c>
      <c r="B294" s="3" t="s">
        <v>373</v>
      </c>
      <c r="C294" s="3" t="s">
        <v>6</v>
      </c>
      <c r="D294" s="3" t="s">
        <v>31</v>
      </c>
      <c r="E294" s="3" t="s">
        <v>27</v>
      </c>
      <c r="F294" s="3" t="n">
        <v>2</v>
      </c>
      <c r="G294" s="4" t="n">
        <v>62000</v>
      </c>
      <c r="H294" s="4" t="n">
        <f aca="false">F294*G294</f>
        <v>124000</v>
      </c>
    </row>
    <row r="295" customFormat="false" ht="15" hidden="false" customHeight="false" outlineLevel="0" collapsed="false">
      <c r="A295" s="3" t="s">
        <v>376</v>
      </c>
      <c r="B295" s="3" t="s">
        <v>373</v>
      </c>
      <c r="C295" s="3" t="s">
        <v>12</v>
      </c>
      <c r="D295" s="3" t="s">
        <v>31</v>
      </c>
      <c r="E295" s="3" t="s">
        <v>24</v>
      </c>
      <c r="F295" s="3" t="n">
        <v>1</v>
      </c>
      <c r="G295" s="4" t="n">
        <v>62000</v>
      </c>
      <c r="H295" s="4" t="n">
        <f aca="false">F295*G295</f>
        <v>62000</v>
      </c>
    </row>
    <row r="296" customFormat="false" ht="15" hidden="false" customHeight="false" outlineLevel="0" collapsed="false">
      <c r="A296" s="3" t="s">
        <v>377</v>
      </c>
      <c r="B296" s="3" t="s">
        <v>373</v>
      </c>
      <c r="C296" s="3" t="s">
        <v>11</v>
      </c>
      <c r="D296" s="3" t="s">
        <v>26</v>
      </c>
      <c r="E296" s="3" t="s">
        <v>27</v>
      </c>
      <c r="F296" s="3" t="n">
        <v>3</v>
      </c>
      <c r="G296" s="4" t="n">
        <v>2500</v>
      </c>
      <c r="H296" s="4" t="n">
        <f aca="false">F296*G296</f>
        <v>7500</v>
      </c>
    </row>
    <row r="297" customFormat="false" ht="15" hidden="false" customHeight="false" outlineLevel="0" collapsed="false">
      <c r="A297" s="3" t="s">
        <v>378</v>
      </c>
      <c r="B297" s="3" t="s">
        <v>373</v>
      </c>
      <c r="C297" s="3" t="s">
        <v>12</v>
      </c>
      <c r="D297" s="3" t="s">
        <v>34</v>
      </c>
      <c r="E297" s="3" t="s">
        <v>27</v>
      </c>
      <c r="F297" s="3" t="n">
        <v>2</v>
      </c>
      <c r="G297" s="4" t="n">
        <v>18500</v>
      </c>
      <c r="H297" s="4" t="n">
        <f aca="false">F297*G297</f>
        <v>37000</v>
      </c>
    </row>
    <row r="298" customFormat="false" ht="15" hidden="false" customHeight="false" outlineLevel="0" collapsed="false">
      <c r="A298" s="3" t="s">
        <v>379</v>
      </c>
      <c r="B298" s="3" t="s">
        <v>373</v>
      </c>
      <c r="C298" s="3" t="s">
        <v>11</v>
      </c>
      <c r="D298" s="3" t="s">
        <v>34</v>
      </c>
      <c r="E298" s="3" t="s">
        <v>24</v>
      </c>
      <c r="F298" s="3" t="n">
        <v>1</v>
      </c>
      <c r="G298" s="4" t="n">
        <v>18500</v>
      </c>
      <c r="H298" s="4" t="n">
        <f aca="false">F298*G298</f>
        <v>18500</v>
      </c>
    </row>
    <row r="299" customFormat="false" ht="15" hidden="false" customHeight="false" outlineLevel="0" collapsed="false">
      <c r="A299" s="3" t="s">
        <v>380</v>
      </c>
      <c r="B299" s="3" t="s">
        <v>373</v>
      </c>
      <c r="C299" s="3" t="s">
        <v>12</v>
      </c>
      <c r="D299" s="3" t="s">
        <v>29</v>
      </c>
      <c r="E299" s="3" t="s">
        <v>27</v>
      </c>
      <c r="F299" s="3" t="n">
        <v>2</v>
      </c>
      <c r="G299" s="4" t="n">
        <v>45000</v>
      </c>
      <c r="H299" s="4" t="n">
        <f aca="false">F299*G299</f>
        <v>90000</v>
      </c>
    </row>
    <row r="300" customFormat="false" ht="15" hidden="false" customHeight="false" outlineLevel="0" collapsed="false">
      <c r="A300" s="3" t="s">
        <v>381</v>
      </c>
      <c r="B300" s="3" t="s">
        <v>382</v>
      </c>
      <c r="C300" s="3" t="s">
        <v>6</v>
      </c>
      <c r="D300" s="3" t="s">
        <v>40</v>
      </c>
      <c r="E300" s="3" t="s">
        <v>24</v>
      </c>
      <c r="F300" s="3" t="n">
        <v>1</v>
      </c>
      <c r="G300" s="4" t="n">
        <v>28000</v>
      </c>
      <c r="H300" s="4" t="n">
        <f aca="false">F300*G300</f>
        <v>28000</v>
      </c>
    </row>
    <row r="301" customFormat="false" ht="15" hidden="false" customHeight="false" outlineLevel="0" collapsed="false">
      <c r="A301" s="3" t="s">
        <v>383</v>
      </c>
      <c r="B301" s="3" t="s">
        <v>382</v>
      </c>
      <c r="C301" s="3" t="s">
        <v>6</v>
      </c>
      <c r="D301" s="3" t="s">
        <v>26</v>
      </c>
      <c r="E301" s="3" t="s">
        <v>27</v>
      </c>
      <c r="F301" s="3" t="n">
        <v>3</v>
      </c>
      <c r="G301" s="4" t="n">
        <v>2500</v>
      </c>
      <c r="H301" s="4" t="n">
        <f aca="false">F301*G301</f>
        <v>7500</v>
      </c>
    </row>
    <row r="302" customFormat="false" ht="15" hidden="false" customHeight="false" outlineLevel="0" collapsed="false">
      <c r="A302" s="3" t="s">
        <v>384</v>
      </c>
      <c r="B302" s="3" t="s">
        <v>382</v>
      </c>
      <c r="C302" s="3" t="s">
        <v>8</v>
      </c>
      <c r="D302" s="3" t="s">
        <v>40</v>
      </c>
      <c r="E302" s="3" t="s">
        <v>27</v>
      </c>
      <c r="F302" s="3" t="n">
        <v>1</v>
      </c>
      <c r="G302" s="4" t="n">
        <v>28000</v>
      </c>
      <c r="H302" s="4" t="n">
        <f aca="false">F302*G302</f>
        <v>28000</v>
      </c>
    </row>
    <row r="303" customFormat="false" ht="15" hidden="false" customHeight="false" outlineLevel="0" collapsed="false">
      <c r="A303" s="3" t="s">
        <v>385</v>
      </c>
      <c r="B303" s="3" t="s">
        <v>382</v>
      </c>
      <c r="C303" s="3" t="s">
        <v>6</v>
      </c>
      <c r="D303" s="3" t="s">
        <v>26</v>
      </c>
      <c r="E303" s="3" t="s">
        <v>24</v>
      </c>
      <c r="F303" s="3" t="n">
        <v>2</v>
      </c>
      <c r="G303" s="4" t="n">
        <v>2500</v>
      </c>
      <c r="H303" s="4" t="n">
        <f aca="false">F303*G303</f>
        <v>5000</v>
      </c>
    </row>
    <row r="304" customFormat="false" ht="15" hidden="false" customHeight="false" outlineLevel="0" collapsed="false">
      <c r="A304" s="3" t="s">
        <v>386</v>
      </c>
      <c r="B304" s="3" t="s">
        <v>382</v>
      </c>
      <c r="C304" s="3" t="s">
        <v>8</v>
      </c>
      <c r="D304" s="3" t="s">
        <v>34</v>
      </c>
      <c r="E304" s="3" t="s">
        <v>24</v>
      </c>
      <c r="F304" s="3" t="n">
        <v>1</v>
      </c>
      <c r="G304" s="4" t="n">
        <v>18500</v>
      </c>
      <c r="H304" s="4" t="n">
        <f aca="false">F304*G304</f>
        <v>18500</v>
      </c>
    </row>
    <row r="305" customFormat="false" ht="15" hidden="false" customHeight="false" outlineLevel="0" collapsed="false">
      <c r="A305" s="3" t="s">
        <v>387</v>
      </c>
      <c r="B305" s="3" t="s">
        <v>388</v>
      </c>
      <c r="C305" s="3" t="s">
        <v>10</v>
      </c>
      <c r="D305" s="3" t="s">
        <v>31</v>
      </c>
      <c r="E305" s="3" t="s">
        <v>24</v>
      </c>
      <c r="F305" s="3" t="n">
        <v>2</v>
      </c>
      <c r="G305" s="4" t="n">
        <v>62000</v>
      </c>
      <c r="H305" s="4" t="n">
        <f aca="false">F305*G305</f>
        <v>124000</v>
      </c>
    </row>
    <row r="306" customFormat="false" ht="15" hidden="false" customHeight="false" outlineLevel="0" collapsed="false">
      <c r="A306" s="3" t="s">
        <v>389</v>
      </c>
      <c r="B306" s="3" t="s">
        <v>388</v>
      </c>
      <c r="C306" s="3" t="s">
        <v>8</v>
      </c>
      <c r="D306" s="3" t="s">
        <v>34</v>
      </c>
      <c r="E306" s="3" t="s">
        <v>24</v>
      </c>
      <c r="F306" s="3" t="n">
        <v>2</v>
      </c>
      <c r="G306" s="4" t="n">
        <v>18500</v>
      </c>
      <c r="H306" s="4" t="n">
        <f aca="false">F306*G306</f>
        <v>37000</v>
      </c>
    </row>
    <row r="307" customFormat="false" ht="15" hidden="false" customHeight="false" outlineLevel="0" collapsed="false">
      <c r="A307" s="3" t="s">
        <v>390</v>
      </c>
      <c r="B307" s="3" t="s">
        <v>388</v>
      </c>
      <c r="C307" s="3" t="s">
        <v>8</v>
      </c>
      <c r="D307" s="3" t="s">
        <v>34</v>
      </c>
      <c r="E307" s="3" t="s">
        <v>27</v>
      </c>
      <c r="F307" s="3" t="n">
        <v>1</v>
      </c>
      <c r="G307" s="4" t="n">
        <v>18500</v>
      </c>
      <c r="H307" s="4" t="n">
        <f aca="false">F307*G307</f>
        <v>18500</v>
      </c>
    </row>
    <row r="308" customFormat="false" ht="15" hidden="false" customHeight="false" outlineLevel="0" collapsed="false">
      <c r="A308" s="3" t="s">
        <v>391</v>
      </c>
      <c r="B308" s="3" t="s">
        <v>392</v>
      </c>
      <c r="C308" s="3" t="s">
        <v>6</v>
      </c>
      <c r="D308" s="3" t="s">
        <v>29</v>
      </c>
      <c r="E308" s="3" t="s">
        <v>24</v>
      </c>
      <c r="F308" s="3" t="n">
        <v>2</v>
      </c>
      <c r="G308" s="4" t="n">
        <v>45000</v>
      </c>
      <c r="H308" s="4" t="n">
        <f aca="false">F308*G308</f>
        <v>90000</v>
      </c>
    </row>
    <row r="309" customFormat="false" ht="15" hidden="false" customHeight="false" outlineLevel="0" collapsed="false">
      <c r="A309" s="3" t="s">
        <v>393</v>
      </c>
      <c r="B309" s="3" t="s">
        <v>392</v>
      </c>
      <c r="C309" s="3" t="s">
        <v>6</v>
      </c>
      <c r="D309" s="3" t="s">
        <v>29</v>
      </c>
      <c r="E309" s="3" t="s">
        <v>27</v>
      </c>
      <c r="F309" s="3" t="n">
        <v>2</v>
      </c>
      <c r="G309" s="4" t="n">
        <v>45000</v>
      </c>
      <c r="H309" s="4" t="n">
        <f aca="false">F309*G309</f>
        <v>90000</v>
      </c>
    </row>
    <row r="310" customFormat="false" ht="15" hidden="false" customHeight="false" outlineLevel="0" collapsed="false">
      <c r="A310" s="3" t="s">
        <v>394</v>
      </c>
      <c r="B310" s="3" t="s">
        <v>392</v>
      </c>
      <c r="C310" s="3" t="s">
        <v>12</v>
      </c>
      <c r="D310" s="3" t="s">
        <v>23</v>
      </c>
      <c r="E310" s="3" t="s">
        <v>24</v>
      </c>
      <c r="F310" s="3" t="n">
        <v>2</v>
      </c>
      <c r="G310" s="4" t="n">
        <v>6500</v>
      </c>
      <c r="H310" s="4" t="n">
        <f aca="false">F310*G310</f>
        <v>13000</v>
      </c>
    </row>
    <row r="311" customFormat="false" ht="15" hidden="false" customHeight="false" outlineLevel="0" collapsed="false">
      <c r="A311" s="3" t="s">
        <v>395</v>
      </c>
      <c r="B311" s="3" t="s">
        <v>392</v>
      </c>
      <c r="C311" s="3" t="s">
        <v>11</v>
      </c>
      <c r="D311" s="3" t="s">
        <v>34</v>
      </c>
      <c r="E311" s="3" t="s">
        <v>24</v>
      </c>
      <c r="F311" s="3" t="n">
        <v>1</v>
      </c>
      <c r="G311" s="4" t="n">
        <v>18500</v>
      </c>
      <c r="H311" s="4" t="n">
        <f aca="false">F311*G311</f>
        <v>18500</v>
      </c>
    </row>
    <row r="312" customFormat="false" ht="15" hidden="false" customHeight="false" outlineLevel="0" collapsed="false">
      <c r="A312" s="3" t="s">
        <v>396</v>
      </c>
      <c r="B312" s="3" t="s">
        <v>392</v>
      </c>
      <c r="C312" s="3" t="s">
        <v>6</v>
      </c>
      <c r="D312" s="3" t="s">
        <v>34</v>
      </c>
      <c r="E312" s="3" t="s">
        <v>27</v>
      </c>
      <c r="F312" s="3" t="n">
        <v>2</v>
      </c>
      <c r="G312" s="4" t="n">
        <v>18500</v>
      </c>
      <c r="H312" s="4" t="n">
        <f aca="false">F312*G312</f>
        <v>37000</v>
      </c>
    </row>
    <row r="313" customFormat="false" ht="15" hidden="false" customHeight="false" outlineLevel="0" collapsed="false">
      <c r="A313" s="3" t="s">
        <v>397</v>
      </c>
      <c r="B313" s="3" t="s">
        <v>392</v>
      </c>
      <c r="C313" s="3" t="s">
        <v>6</v>
      </c>
      <c r="D313" s="3" t="s">
        <v>26</v>
      </c>
      <c r="E313" s="3" t="s">
        <v>24</v>
      </c>
      <c r="F313" s="3" t="n">
        <v>1</v>
      </c>
      <c r="G313" s="4" t="n">
        <v>2500</v>
      </c>
      <c r="H313" s="4" t="n">
        <f aca="false">F313*G313</f>
        <v>2500</v>
      </c>
    </row>
    <row r="314" customFormat="false" ht="15" hidden="false" customHeight="false" outlineLevel="0" collapsed="false">
      <c r="A314" s="3" t="s">
        <v>398</v>
      </c>
      <c r="B314" s="3" t="s">
        <v>392</v>
      </c>
      <c r="C314" s="3" t="s">
        <v>6</v>
      </c>
      <c r="D314" s="3" t="s">
        <v>26</v>
      </c>
      <c r="E314" s="3" t="s">
        <v>27</v>
      </c>
      <c r="F314" s="3" t="n">
        <v>5</v>
      </c>
      <c r="G314" s="4" t="n">
        <v>2500</v>
      </c>
      <c r="H314" s="4" t="n">
        <f aca="false">F314*G314</f>
        <v>12500</v>
      </c>
    </row>
    <row r="315" customFormat="false" ht="15" hidden="false" customHeight="false" outlineLevel="0" collapsed="false">
      <c r="A315" s="3" t="s">
        <v>399</v>
      </c>
      <c r="B315" s="3" t="s">
        <v>392</v>
      </c>
      <c r="C315" s="3" t="s">
        <v>12</v>
      </c>
      <c r="D315" s="3" t="s">
        <v>34</v>
      </c>
      <c r="E315" s="3" t="s">
        <v>27</v>
      </c>
      <c r="F315" s="3" t="n">
        <v>2</v>
      </c>
      <c r="G315" s="4" t="n">
        <v>18500</v>
      </c>
      <c r="H315" s="4" t="n">
        <f aca="false">F315*G315</f>
        <v>37000</v>
      </c>
    </row>
    <row r="316" customFormat="false" ht="15" hidden="false" customHeight="false" outlineLevel="0" collapsed="false">
      <c r="A316" s="3" t="s">
        <v>400</v>
      </c>
      <c r="B316" s="3" t="s">
        <v>392</v>
      </c>
      <c r="C316" s="3" t="s">
        <v>8</v>
      </c>
      <c r="D316" s="3" t="s">
        <v>29</v>
      </c>
      <c r="E316" s="3" t="s">
        <v>24</v>
      </c>
      <c r="F316" s="3" t="n">
        <v>2</v>
      </c>
      <c r="G316" s="4" t="n">
        <v>45000</v>
      </c>
      <c r="H316" s="4" t="n">
        <f aca="false">F316*G316</f>
        <v>90000</v>
      </c>
    </row>
    <row r="317" customFormat="false" ht="15" hidden="false" customHeight="false" outlineLevel="0" collapsed="false">
      <c r="A317" s="3" t="s">
        <v>401</v>
      </c>
      <c r="B317" s="3" t="s">
        <v>392</v>
      </c>
      <c r="C317" s="3" t="s">
        <v>8</v>
      </c>
      <c r="D317" s="3" t="s">
        <v>40</v>
      </c>
      <c r="E317" s="3" t="s">
        <v>24</v>
      </c>
      <c r="F317" s="3" t="n">
        <v>1</v>
      </c>
      <c r="G317" s="4" t="n">
        <v>28000</v>
      </c>
      <c r="H317" s="4" t="n">
        <f aca="false">F317*G317</f>
        <v>28000</v>
      </c>
    </row>
    <row r="318" customFormat="false" ht="15" hidden="false" customHeight="false" outlineLevel="0" collapsed="false">
      <c r="A318" s="3" t="s">
        <v>402</v>
      </c>
      <c r="B318" s="3" t="s">
        <v>403</v>
      </c>
      <c r="C318" s="3" t="s">
        <v>6</v>
      </c>
      <c r="D318" s="3" t="s">
        <v>26</v>
      </c>
      <c r="E318" s="3" t="s">
        <v>24</v>
      </c>
      <c r="F318" s="3" t="n">
        <v>3</v>
      </c>
      <c r="G318" s="4" t="n">
        <v>2500</v>
      </c>
      <c r="H318" s="4" t="n">
        <f aca="false">F318*G318</f>
        <v>7500</v>
      </c>
    </row>
    <row r="319" customFormat="false" ht="15" hidden="false" customHeight="false" outlineLevel="0" collapsed="false">
      <c r="A319" s="3" t="s">
        <v>404</v>
      </c>
      <c r="B319" s="3" t="s">
        <v>403</v>
      </c>
      <c r="C319" s="3" t="s">
        <v>8</v>
      </c>
      <c r="D319" s="3" t="s">
        <v>29</v>
      </c>
      <c r="E319" s="3" t="s">
        <v>24</v>
      </c>
      <c r="F319" s="3" t="n">
        <v>2</v>
      </c>
      <c r="G319" s="4" t="n">
        <v>45000</v>
      </c>
      <c r="H319" s="4" t="n">
        <f aca="false">F319*G319</f>
        <v>90000</v>
      </c>
    </row>
    <row r="320" customFormat="false" ht="15" hidden="false" customHeight="false" outlineLevel="0" collapsed="false">
      <c r="A320" s="3" t="s">
        <v>405</v>
      </c>
      <c r="B320" s="3" t="s">
        <v>403</v>
      </c>
      <c r="C320" s="3" t="s">
        <v>8</v>
      </c>
      <c r="D320" s="3" t="s">
        <v>26</v>
      </c>
      <c r="E320" s="3" t="s">
        <v>24</v>
      </c>
      <c r="F320" s="3" t="n">
        <v>2</v>
      </c>
      <c r="G320" s="4" t="n">
        <v>2500</v>
      </c>
      <c r="H320" s="4" t="n">
        <f aca="false">F320*G320</f>
        <v>5000</v>
      </c>
    </row>
    <row r="321" customFormat="false" ht="15" hidden="false" customHeight="false" outlineLevel="0" collapsed="false">
      <c r="A321" s="3" t="s">
        <v>406</v>
      </c>
      <c r="B321" s="3" t="s">
        <v>403</v>
      </c>
      <c r="C321" s="3" t="s">
        <v>8</v>
      </c>
      <c r="D321" s="3" t="s">
        <v>26</v>
      </c>
      <c r="E321" s="3" t="s">
        <v>24</v>
      </c>
      <c r="F321" s="3" t="n">
        <v>3</v>
      </c>
      <c r="G321" s="4" t="n">
        <v>2500</v>
      </c>
      <c r="H321" s="4" t="n">
        <f aca="false">F321*G321</f>
        <v>7500</v>
      </c>
    </row>
    <row r="322" customFormat="false" ht="15" hidden="false" customHeight="false" outlineLevel="0" collapsed="false">
      <c r="A322" s="3" t="s">
        <v>407</v>
      </c>
      <c r="B322" s="3" t="s">
        <v>403</v>
      </c>
      <c r="C322" s="3" t="s">
        <v>12</v>
      </c>
      <c r="D322" s="3" t="s">
        <v>23</v>
      </c>
      <c r="E322" s="3" t="s">
        <v>27</v>
      </c>
      <c r="F322" s="3" t="n">
        <v>1</v>
      </c>
      <c r="G322" s="4" t="n">
        <v>6500</v>
      </c>
      <c r="H322" s="4" t="n">
        <f aca="false">F322*G322</f>
        <v>6500</v>
      </c>
    </row>
    <row r="323" customFormat="false" ht="15" hidden="false" customHeight="false" outlineLevel="0" collapsed="false">
      <c r="A323" s="3" t="s">
        <v>408</v>
      </c>
      <c r="B323" s="3" t="s">
        <v>403</v>
      </c>
      <c r="C323" s="3" t="s">
        <v>8</v>
      </c>
      <c r="D323" s="3" t="s">
        <v>29</v>
      </c>
      <c r="E323" s="3" t="s">
        <v>27</v>
      </c>
      <c r="F323" s="3" t="n">
        <v>1</v>
      </c>
      <c r="G323" s="4" t="n">
        <v>45000</v>
      </c>
      <c r="H323" s="4" t="n">
        <f aca="false">F323*G323</f>
        <v>45000</v>
      </c>
    </row>
    <row r="324" customFormat="false" ht="15" hidden="false" customHeight="false" outlineLevel="0" collapsed="false">
      <c r="A324" s="3" t="s">
        <v>409</v>
      </c>
      <c r="B324" s="3" t="s">
        <v>403</v>
      </c>
      <c r="C324" s="3" t="s">
        <v>8</v>
      </c>
      <c r="D324" s="3" t="s">
        <v>26</v>
      </c>
      <c r="E324" s="3" t="s">
        <v>24</v>
      </c>
      <c r="F324" s="3" t="n">
        <v>3</v>
      </c>
      <c r="G324" s="4" t="n">
        <v>2500</v>
      </c>
      <c r="H324" s="4" t="n">
        <f aca="false">F324*G324</f>
        <v>7500</v>
      </c>
    </row>
    <row r="325" customFormat="false" ht="15" hidden="false" customHeight="false" outlineLevel="0" collapsed="false">
      <c r="A325" s="3" t="s">
        <v>410</v>
      </c>
      <c r="B325" s="3" t="s">
        <v>403</v>
      </c>
      <c r="C325" s="3" t="s">
        <v>8</v>
      </c>
      <c r="D325" s="3" t="s">
        <v>40</v>
      </c>
      <c r="E325" s="3" t="s">
        <v>24</v>
      </c>
      <c r="F325" s="3" t="n">
        <v>1</v>
      </c>
      <c r="G325" s="4" t="n">
        <v>28000</v>
      </c>
      <c r="H325" s="4" t="n">
        <f aca="false">F325*G325</f>
        <v>28000</v>
      </c>
    </row>
    <row r="326" customFormat="false" ht="15" hidden="false" customHeight="false" outlineLevel="0" collapsed="false">
      <c r="A326" s="3" t="s">
        <v>411</v>
      </c>
      <c r="B326" s="3" t="s">
        <v>403</v>
      </c>
      <c r="C326" s="3" t="s">
        <v>6</v>
      </c>
      <c r="D326" s="3" t="s">
        <v>34</v>
      </c>
      <c r="E326" s="3" t="s">
        <v>24</v>
      </c>
      <c r="F326" s="3" t="n">
        <v>1</v>
      </c>
      <c r="G326" s="4" t="n">
        <v>18500</v>
      </c>
      <c r="H326" s="4" t="n">
        <f aca="false">F326*G326</f>
        <v>18500</v>
      </c>
    </row>
    <row r="327" customFormat="false" ht="15" hidden="false" customHeight="false" outlineLevel="0" collapsed="false">
      <c r="A327" s="3" t="s">
        <v>412</v>
      </c>
      <c r="B327" s="3" t="s">
        <v>413</v>
      </c>
      <c r="C327" s="3" t="s">
        <v>6</v>
      </c>
      <c r="D327" s="3" t="s">
        <v>34</v>
      </c>
      <c r="E327" s="3" t="s">
        <v>24</v>
      </c>
      <c r="F327" s="3" t="n">
        <v>2</v>
      </c>
      <c r="G327" s="4" t="n">
        <v>18500</v>
      </c>
      <c r="H327" s="4" t="n">
        <f aca="false">F327*G327</f>
        <v>37000</v>
      </c>
    </row>
    <row r="328" customFormat="false" ht="15" hidden="false" customHeight="false" outlineLevel="0" collapsed="false">
      <c r="A328" s="3" t="s">
        <v>414</v>
      </c>
      <c r="B328" s="3" t="s">
        <v>413</v>
      </c>
      <c r="C328" s="3" t="s">
        <v>6</v>
      </c>
      <c r="D328" s="3" t="s">
        <v>31</v>
      </c>
      <c r="E328" s="3" t="s">
        <v>24</v>
      </c>
      <c r="F328" s="3" t="n">
        <v>2</v>
      </c>
      <c r="G328" s="4" t="n">
        <v>62000</v>
      </c>
      <c r="H328" s="4" t="n">
        <f aca="false">F328*G328</f>
        <v>124000</v>
      </c>
    </row>
    <row r="329" customFormat="false" ht="15" hidden="false" customHeight="false" outlineLevel="0" collapsed="false">
      <c r="A329" s="3" t="s">
        <v>415</v>
      </c>
      <c r="B329" s="3" t="s">
        <v>413</v>
      </c>
      <c r="C329" s="3" t="s">
        <v>10</v>
      </c>
      <c r="D329" s="3" t="s">
        <v>23</v>
      </c>
      <c r="E329" s="3" t="s">
        <v>24</v>
      </c>
      <c r="F329" s="3" t="n">
        <v>5</v>
      </c>
      <c r="G329" s="4" t="n">
        <v>6500</v>
      </c>
      <c r="H329" s="4" t="n">
        <f aca="false">F329*G329</f>
        <v>32500</v>
      </c>
    </row>
    <row r="330" customFormat="false" ht="15" hidden="false" customHeight="false" outlineLevel="0" collapsed="false">
      <c r="A330" s="3" t="s">
        <v>416</v>
      </c>
      <c r="B330" s="3" t="s">
        <v>417</v>
      </c>
      <c r="C330" s="3" t="s">
        <v>12</v>
      </c>
      <c r="D330" s="3" t="s">
        <v>23</v>
      </c>
      <c r="E330" s="3" t="s">
        <v>24</v>
      </c>
      <c r="F330" s="3" t="n">
        <v>4</v>
      </c>
      <c r="G330" s="4" t="n">
        <v>6500</v>
      </c>
      <c r="H330" s="4" t="n">
        <f aca="false">F330*G330</f>
        <v>26000</v>
      </c>
    </row>
    <row r="331" customFormat="false" ht="15" hidden="false" customHeight="false" outlineLevel="0" collapsed="false">
      <c r="A331" s="3" t="s">
        <v>418</v>
      </c>
      <c r="B331" s="3" t="s">
        <v>417</v>
      </c>
      <c r="C331" s="3" t="s">
        <v>6</v>
      </c>
      <c r="D331" s="3" t="s">
        <v>34</v>
      </c>
      <c r="E331" s="3" t="s">
        <v>27</v>
      </c>
      <c r="F331" s="3" t="n">
        <v>1</v>
      </c>
      <c r="G331" s="4" t="n">
        <v>18500</v>
      </c>
      <c r="H331" s="4" t="n">
        <f aca="false">F331*G331</f>
        <v>18500</v>
      </c>
    </row>
    <row r="332" customFormat="false" ht="15" hidden="false" customHeight="false" outlineLevel="0" collapsed="false">
      <c r="A332" s="3" t="s">
        <v>419</v>
      </c>
      <c r="B332" s="3" t="s">
        <v>417</v>
      </c>
      <c r="C332" s="3" t="s">
        <v>10</v>
      </c>
      <c r="D332" s="3" t="s">
        <v>40</v>
      </c>
      <c r="E332" s="3" t="s">
        <v>27</v>
      </c>
      <c r="F332" s="3" t="n">
        <v>2</v>
      </c>
      <c r="G332" s="4" t="n">
        <v>28000</v>
      </c>
      <c r="H332" s="4" t="n">
        <f aca="false">F332*G332</f>
        <v>56000</v>
      </c>
    </row>
    <row r="333" customFormat="false" ht="15" hidden="false" customHeight="false" outlineLevel="0" collapsed="false">
      <c r="A333" s="3" t="s">
        <v>420</v>
      </c>
      <c r="B333" s="3" t="s">
        <v>417</v>
      </c>
      <c r="C333" s="3" t="s">
        <v>12</v>
      </c>
      <c r="D333" s="3" t="s">
        <v>40</v>
      </c>
      <c r="E333" s="3" t="s">
        <v>27</v>
      </c>
      <c r="F333" s="3" t="n">
        <v>1</v>
      </c>
      <c r="G333" s="4" t="n">
        <v>28000</v>
      </c>
      <c r="H333" s="4" t="n">
        <f aca="false">F333*G333</f>
        <v>28000</v>
      </c>
    </row>
    <row r="334" customFormat="false" ht="15" hidden="false" customHeight="false" outlineLevel="0" collapsed="false">
      <c r="A334" s="3" t="s">
        <v>421</v>
      </c>
      <c r="B334" s="3" t="s">
        <v>417</v>
      </c>
      <c r="C334" s="3" t="s">
        <v>6</v>
      </c>
      <c r="D334" s="3" t="s">
        <v>26</v>
      </c>
      <c r="E334" s="3" t="s">
        <v>27</v>
      </c>
      <c r="F334" s="3" t="n">
        <v>3</v>
      </c>
      <c r="G334" s="4" t="n">
        <v>2500</v>
      </c>
      <c r="H334" s="4" t="n">
        <f aca="false">F334*G334</f>
        <v>7500</v>
      </c>
    </row>
    <row r="335" customFormat="false" ht="15" hidden="false" customHeight="false" outlineLevel="0" collapsed="false">
      <c r="A335" s="3" t="s">
        <v>422</v>
      </c>
      <c r="B335" s="3" t="s">
        <v>417</v>
      </c>
      <c r="C335" s="3" t="s">
        <v>6</v>
      </c>
      <c r="D335" s="3" t="s">
        <v>34</v>
      </c>
      <c r="E335" s="3" t="s">
        <v>24</v>
      </c>
      <c r="F335" s="3" t="n">
        <v>1</v>
      </c>
      <c r="G335" s="4" t="n">
        <v>18500</v>
      </c>
      <c r="H335" s="4" t="n">
        <f aca="false">F335*G335</f>
        <v>18500</v>
      </c>
    </row>
    <row r="336" customFormat="false" ht="15" hidden="false" customHeight="false" outlineLevel="0" collapsed="false">
      <c r="A336" s="3" t="s">
        <v>423</v>
      </c>
      <c r="B336" s="3" t="s">
        <v>417</v>
      </c>
      <c r="C336" s="3" t="s">
        <v>12</v>
      </c>
      <c r="D336" s="3" t="s">
        <v>34</v>
      </c>
      <c r="E336" s="3" t="s">
        <v>27</v>
      </c>
      <c r="F336" s="3" t="n">
        <v>1</v>
      </c>
      <c r="G336" s="4" t="n">
        <v>18500</v>
      </c>
      <c r="H336" s="4" t="n">
        <f aca="false">F336*G336</f>
        <v>18500</v>
      </c>
    </row>
    <row r="337" customFormat="false" ht="15" hidden="false" customHeight="false" outlineLevel="0" collapsed="false">
      <c r="A337" s="3" t="s">
        <v>424</v>
      </c>
      <c r="B337" s="3" t="s">
        <v>417</v>
      </c>
      <c r="C337" s="3" t="s">
        <v>8</v>
      </c>
      <c r="D337" s="3" t="s">
        <v>34</v>
      </c>
      <c r="E337" s="3" t="s">
        <v>24</v>
      </c>
      <c r="F337" s="3" t="n">
        <v>1</v>
      </c>
      <c r="G337" s="4" t="n">
        <v>18500</v>
      </c>
      <c r="H337" s="4" t="n">
        <f aca="false">F337*G337</f>
        <v>18500</v>
      </c>
    </row>
    <row r="338" customFormat="false" ht="15" hidden="false" customHeight="false" outlineLevel="0" collapsed="false">
      <c r="A338" s="3" t="s">
        <v>425</v>
      </c>
      <c r="B338" s="3" t="s">
        <v>417</v>
      </c>
      <c r="C338" s="3" t="s">
        <v>8</v>
      </c>
      <c r="D338" s="3" t="s">
        <v>34</v>
      </c>
      <c r="E338" s="3" t="s">
        <v>24</v>
      </c>
      <c r="F338" s="3" t="n">
        <v>1</v>
      </c>
      <c r="G338" s="4" t="n">
        <v>18500</v>
      </c>
      <c r="H338" s="4" t="n">
        <f aca="false">F338*G338</f>
        <v>18500</v>
      </c>
    </row>
    <row r="339" customFormat="false" ht="15" hidden="false" customHeight="false" outlineLevel="0" collapsed="false">
      <c r="A339" s="3" t="s">
        <v>426</v>
      </c>
      <c r="B339" s="3" t="s">
        <v>417</v>
      </c>
      <c r="C339" s="3" t="s">
        <v>8</v>
      </c>
      <c r="D339" s="3" t="s">
        <v>31</v>
      </c>
      <c r="E339" s="3" t="s">
        <v>24</v>
      </c>
      <c r="F339" s="3" t="n">
        <v>2</v>
      </c>
      <c r="G339" s="4" t="n">
        <v>62000</v>
      </c>
      <c r="H339" s="4" t="n">
        <f aca="false">F339*G339</f>
        <v>124000</v>
      </c>
    </row>
    <row r="340" customFormat="false" ht="15" hidden="false" customHeight="false" outlineLevel="0" collapsed="false">
      <c r="A340" s="3" t="s">
        <v>427</v>
      </c>
      <c r="B340" s="3" t="s">
        <v>428</v>
      </c>
      <c r="C340" s="3" t="s">
        <v>6</v>
      </c>
      <c r="D340" s="3" t="s">
        <v>26</v>
      </c>
      <c r="E340" s="3" t="s">
        <v>27</v>
      </c>
      <c r="F340" s="3" t="n">
        <v>1</v>
      </c>
      <c r="G340" s="4" t="n">
        <v>2500</v>
      </c>
      <c r="H340" s="4" t="n">
        <f aca="false">F340*G340</f>
        <v>2500</v>
      </c>
    </row>
    <row r="341" customFormat="false" ht="15" hidden="false" customHeight="false" outlineLevel="0" collapsed="false">
      <c r="A341" s="3" t="s">
        <v>429</v>
      </c>
      <c r="B341" s="3" t="s">
        <v>428</v>
      </c>
      <c r="C341" s="3" t="s">
        <v>8</v>
      </c>
      <c r="D341" s="3" t="s">
        <v>23</v>
      </c>
      <c r="E341" s="3" t="s">
        <v>24</v>
      </c>
      <c r="F341" s="3" t="n">
        <v>1</v>
      </c>
      <c r="G341" s="4" t="n">
        <v>6500</v>
      </c>
      <c r="H341" s="4" t="n">
        <f aca="false">F341*G341</f>
        <v>6500</v>
      </c>
    </row>
    <row r="342" customFormat="false" ht="15" hidden="false" customHeight="false" outlineLevel="0" collapsed="false">
      <c r="A342" s="3" t="s">
        <v>430</v>
      </c>
      <c r="B342" s="3" t="s">
        <v>428</v>
      </c>
      <c r="C342" s="3" t="s">
        <v>8</v>
      </c>
      <c r="D342" s="3" t="s">
        <v>23</v>
      </c>
      <c r="E342" s="3" t="s">
        <v>24</v>
      </c>
      <c r="F342" s="3" t="n">
        <v>4</v>
      </c>
      <c r="G342" s="4" t="n">
        <v>6500</v>
      </c>
      <c r="H342" s="4" t="n">
        <f aca="false">F342*G342</f>
        <v>26000</v>
      </c>
    </row>
    <row r="343" customFormat="false" ht="15" hidden="false" customHeight="false" outlineLevel="0" collapsed="false">
      <c r="A343" s="3" t="s">
        <v>431</v>
      </c>
      <c r="B343" s="3" t="s">
        <v>428</v>
      </c>
      <c r="C343" s="3" t="s">
        <v>6</v>
      </c>
      <c r="D343" s="3" t="s">
        <v>31</v>
      </c>
      <c r="E343" s="3" t="s">
        <v>24</v>
      </c>
      <c r="F343" s="3" t="n">
        <v>2</v>
      </c>
      <c r="G343" s="4" t="n">
        <v>62000</v>
      </c>
      <c r="H343" s="4" t="n">
        <f aca="false">F343*G343</f>
        <v>124000</v>
      </c>
    </row>
    <row r="344" customFormat="false" ht="15" hidden="false" customHeight="false" outlineLevel="0" collapsed="false">
      <c r="A344" s="3" t="s">
        <v>432</v>
      </c>
      <c r="B344" s="3" t="s">
        <v>428</v>
      </c>
      <c r="C344" s="3" t="s">
        <v>6</v>
      </c>
      <c r="D344" s="3" t="s">
        <v>29</v>
      </c>
      <c r="E344" s="3" t="s">
        <v>27</v>
      </c>
      <c r="F344" s="3" t="n">
        <v>2</v>
      </c>
      <c r="G344" s="4" t="n">
        <v>45000</v>
      </c>
      <c r="H344" s="4" t="n">
        <f aca="false">F344*G344</f>
        <v>90000</v>
      </c>
    </row>
    <row r="345" customFormat="false" ht="15" hidden="false" customHeight="false" outlineLevel="0" collapsed="false">
      <c r="A345" s="3" t="s">
        <v>433</v>
      </c>
      <c r="B345" s="3" t="s">
        <v>428</v>
      </c>
      <c r="C345" s="3" t="s">
        <v>8</v>
      </c>
      <c r="D345" s="3" t="s">
        <v>34</v>
      </c>
      <c r="E345" s="3" t="s">
        <v>24</v>
      </c>
      <c r="F345" s="3" t="n">
        <v>1</v>
      </c>
      <c r="G345" s="4" t="n">
        <v>18500</v>
      </c>
      <c r="H345" s="4" t="n">
        <f aca="false">F345*G345</f>
        <v>18500</v>
      </c>
    </row>
    <row r="346" customFormat="false" ht="15" hidden="false" customHeight="false" outlineLevel="0" collapsed="false">
      <c r="A346" s="3" t="s">
        <v>434</v>
      </c>
      <c r="B346" s="3" t="s">
        <v>428</v>
      </c>
      <c r="C346" s="3" t="s">
        <v>6</v>
      </c>
      <c r="D346" s="3" t="s">
        <v>26</v>
      </c>
      <c r="E346" s="3" t="s">
        <v>24</v>
      </c>
      <c r="F346" s="3" t="n">
        <v>1</v>
      </c>
      <c r="G346" s="4" t="n">
        <v>2500</v>
      </c>
      <c r="H346" s="4" t="n">
        <f aca="false">F346*G346</f>
        <v>2500</v>
      </c>
    </row>
    <row r="347" customFormat="false" ht="15" hidden="false" customHeight="false" outlineLevel="0" collapsed="false">
      <c r="A347" s="3" t="s">
        <v>435</v>
      </c>
      <c r="B347" s="3" t="s">
        <v>428</v>
      </c>
      <c r="C347" s="3" t="s">
        <v>6</v>
      </c>
      <c r="D347" s="3" t="s">
        <v>34</v>
      </c>
      <c r="E347" s="3" t="s">
        <v>27</v>
      </c>
      <c r="F347" s="3" t="n">
        <v>2</v>
      </c>
      <c r="G347" s="4" t="n">
        <v>18500</v>
      </c>
      <c r="H347" s="4" t="n">
        <f aca="false">F347*G347</f>
        <v>37000</v>
      </c>
    </row>
    <row r="348" customFormat="false" ht="15" hidden="false" customHeight="false" outlineLevel="0" collapsed="false">
      <c r="A348" s="3" t="s">
        <v>436</v>
      </c>
      <c r="B348" s="3" t="s">
        <v>437</v>
      </c>
      <c r="C348" s="3" t="s">
        <v>6</v>
      </c>
      <c r="D348" s="3" t="s">
        <v>31</v>
      </c>
      <c r="E348" s="3" t="s">
        <v>27</v>
      </c>
      <c r="F348" s="3" t="n">
        <v>2</v>
      </c>
      <c r="G348" s="4" t="n">
        <v>62000</v>
      </c>
      <c r="H348" s="4" t="n">
        <f aca="false">F348*G348</f>
        <v>124000</v>
      </c>
    </row>
    <row r="349" customFormat="false" ht="15" hidden="false" customHeight="false" outlineLevel="0" collapsed="false">
      <c r="A349" s="3" t="s">
        <v>438</v>
      </c>
      <c r="B349" s="3" t="s">
        <v>437</v>
      </c>
      <c r="C349" s="3" t="s">
        <v>6</v>
      </c>
      <c r="D349" s="3" t="s">
        <v>26</v>
      </c>
      <c r="E349" s="3" t="s">
        <v>27</v>
      </c>
      <c r="F349" s="3" t="n">
        <v>4</v>
      </c>
      <c r="G349" s="4" t="n">
        <v>2500</v>
      </c>
      <c r="H349" s="4" t="n">
        <f aca="false">F349*G349</f>
        <v>10000</v>
      </c>
    </row>
    <row r="350" customFormat="false" ht="15" hidden="false" customHeight="false" outlineLevel="0" collapsed="false">
      <c r="A350" s="3" t="s">
        <v>439</v>
      </c>
      <c r="B350" s="3" t="s">
        <v>437</v>
      </c>
      <c r="C350" s="3" t="s">
        <v>12</v>
      </c>
      <c r="D350" s="3" t="s">
        <v>29</v>
      </c>
      <c r="E350" s="3" t="s">
        <v>27</v>
      </c>
      <c r="F350" s="3" t="n">
        <v>2</v>
      </c>
      <c r="G350" s="4" t="n">
        <v>45000</v>
      </c>
      <c r="H350" s="4" t="n">
        <f aca="false">F350*G350</f>
        <v>90000</v>
      </c>
    </row>
    <row r="351" customFormat="false" ht="15" hidden="false" customHeight="false" outlineLevel="0" collapsed="false">
      <c r="A351" s="3" t="s">
        <v>440</v>
      </c>
      <c r="B351" s="3" t="s">
        <v>437</v>
      </c>
      <c r="C351" s="3" t="s">
        <v>6</v>
      </c>
      <c r="D351" s="3" t="s">
        <v>31</v>
      </c>
      <c r="E351" s="3" t="s">
        <v>24</v>
      </c>
      <c r="F351" s="3" t="n">
        <v>1</v>
      </c>
      <c r="G351" s="4" t="n">
        <v>62000</v>
      </c>
      <c r="H351" s="4" t="n">
        <f aca="false">F351*G351</f>
        <v>62000</v>
      </c>
    </row>
    <row r="352" customFormat="false" ht="15" hidden="false" customHeight="false" outlineLevel="0" collapsed="false">
      <c r="A352" s="3" t="s">
        <v>441</v>
      </c>
      <c r="B352" s="3" t="s">
        <v>437</v>
      </c>
      <c r="C352" s="3" t="s">
        <v>11</v>
      </c>
      <c r="D352" s="3" t="s">
        <v>23</v>
      </c>
      <c r="E352" s="3" t="s">
        <v>24</v>
      </c>
      <c r="F352" s="3" t="n">
        <v>3</v>
      </c>
      <c r="G352" s="4" t="n">
        <v>6500</v>
      </c>
      <c r="H352" s="4" t="n">
        <f aca="false">F352*G352</f>
        <v>19500</v>
      </c>
    </row>
    <row r="353" customFormat="false" ht="15" hidden="false" customHeight="false" outlineLevel="0" collapsed="false">
      <c r="A353" s="3" t="s">
        <v>442</v>
      </c>
      <c r="B353" s="3" t="s">
        <v>443</v>
      </c>
      <c r="C353" s="3" t="s">
        <v>10</v>
      </c>
      <c r="D353" s="3" t="s">
        <v>34</v>
      </c>
      <c r="E353" s="3" t="s">
        <v>27</v>
      </c>
      <c r="F353" s="3" t="n">
        <v>2</v>
      </c>
      <c r="G353" s="4" t="n">
        <v>18500</v>
      </c>
      <c r="H353" s="4" t="n">
        <f aca="false">F353*G353</f>
        <v>37000</v>
      </c>
    </row>
    <row r="354" customFormat="false" ht="15" hidden="false" customHeight="false" outlineLevel="0" collapsed="false">
      <c r="A354" s="3" t="s">
        <v>444</v>
      </c>
      <c r="B354" s="3" t="s">
        <v>443</v>
      </c>
      <c r="C354" s="3" t="s">
        <v>11</v>
      </c>
      <c r="D354" s="3" t="s">
        <v>26</v>
      </c>
      <c r="E354" s="3" t="s">
        <v>24</v>
      </c>
      <c r="F354" s="3" t="n">
        <v>3</v>
      </c>
      <c r="G354" s="4" t="n">
        <v>2500</v>
      </c>
      <c r="H354" s="4" t="n">
        <f aca="false">F354*G354</f>
        <v>7500</v>
      </c>
    </row>
    <row r="355" customFormat="false" ht="15" hidden="false" customHeight="false" outlineLevel="0" collapsed="false">
      <c r="A355" s="3" t="s">
        <v>445</v>
      </c>
      <c r="B355" s="3" t="s">
        <v>446</v>
      </c>
      <c r="C355" s="3" t="s">
        <v>6</v>
      </c>
      <c r="D355" s="3" t="s">
        <v>26</v>
      </c>
      <c r="E355" s="3" t="s">
        <v>27</v>
      </c>
      <c r="F355" s="3" t="n">
        <v>1</v>
      </c>
      <c r="G355" s="4" t="n">
        <v>2500</v>
      </c>
      <c r="H355" s="4" t="n">
        <f aca="false">F355*G355</f>
        <v>2500</v>
      </c>
    </row>
    <row r="356" customFormat="false" ht="15" hidden="false" customHeight="false" outlineLevel="0" collapsed="false">
      <c r="A356" s="3" t="s">
        <v>447</v>
      </c>
      <c r="B356" s="3" t="s">
        <v>446</v>
      </c>
      <c r="C356" s="3" t="s">
        <v>6</v>
      </c>
      <c r="D356" s="3" t="s">
        <v>31</v>
      </c>
      <c r="E356" s="3" t="s">
        <v>24</v>
      </c>
      <c r="F356" s="3" t="n">
        <v>1</v>
      </c>
      <c r="G356" s="4" t="n">
        <v>62000</v>
      </c>
      <c r="H356" s="4" t="n">
        <f aca="false">F356*G356</f>
        <v>62000</v>
      </c>
    </row>
    <row r="357" customFormat="false" ht="15" hidden="false" customHeight="false" outlineLevel="0" collapsed="false">
      <c r="A357" s="3" t="s">
        <v>448</v>
      </c>
      <c r="B357" s="3" t="s">
        <v>446</v>
      </c>
      <c r="C357" s="3" t="s">
        <v>8</v>
      </c>
      <c r="D357" s="3" t="s">
        <v>26</v>
      </c>
      <c r="E357" s="3" t="s">
        <v>27</v>
      </c>
      <c r="F357" s="3" t="n">
        <v>1</v>
      </c>
      <c r="G357" s="4" t="n">
        <v>2500</v>
      </c>
      <c r="H357" s="4" t="n">
        <f aca="false">F357*G357</f>
        <v>2500</v>
      </c>
    </row>
    <row r="358" customFormat="false" ht="15" hidden="false" customHeight="false" outlineLevel="0" collapsed="false">
      <c r="A358" s="3" t="s">
        <v>449</v>
      </c>
      <c r="B358" s="3" t="s">
        <v>446</v>
      </c>
      <c r="C358" s="3" t="s">
        <v>12</v>
      </c>
      <c r="D358" s="3" t="s">
        <v>23</v>
      </c>
      <c r="E358" s="3" t="s">
        <v>24</v>
      </c>
      <c r="F358" s="3" t="n">
        <v>3</v>
      </c>
      <c r="G358" s="4" t="n">
        <v>6500</v>
      </c>
      <c r="H358" s="4" t="n">
        <f aca="false">F358*G358</f>
        <v>19500</v>
      </c>
    </row>
    <row r="359" customFormat="false" ht="15" hidden="false" customHeight="false" outlineLevel="0" collapsed="false">
      <c r="A359" s="3" t="s">
        <v>450</v>
      </c>
      <c r="B359" s="3" t="s">
        <v>446</v>
      </c>
      <c r="C359" s="3" t="s">
        <v>8</v>
      </c>
      <c r="D359" s="3" t="s">
        <v>34</v>
      </c>
      <c r="E359" s="3" t="s">
        <v>27</v>
      </c>
      <c r="F359" s="3" t="n">
        <v>2</v>
      </c>
      <c r="G359" s="4" t="n">
        <v>18500</v>
      </c>
      <c r="H359" s="4" t="n">
        <f aca="false">F359*G359</f>
        <v>37000</v>
      </c>
    </row>
    <row r="360" customFormat="false" ht="15" hidden="false" customHeight="false" outlineLevel="0" collapsed="false">
      <c r="A360" s="3" t="s">
        <v>451</v>
      </c>
      <c r="B360" s="3" t="s">
        <v>452</v>
      </c>
      <c r="C360" s="3" t="s">
        <v>6</v>
      </c>
      <c r="D360" s="3" t="s">
        <v>40</v>
      </c>
      <c r="E360" s="3" t="s">
        <v>27</v>
      </c>
      <c r="F360" s="3" t="n">
        <v>1</v>
      </c>
      <c r="G360" s="4" t="n">
        <v>28000</v>
      </c>
      <c r="H360" s="4" t="n">
        <f aca="false">F360*G360</f>
        <v>28000</v>
      </c>
    </row>
    <row r="361" customFormat="false" ht="15" hidden="false" customHeight="false" outlineLevel="0" collapsed="false">
      <c r="A361" s="3" t="s">
        <v>453</v>
      </c>
      <c r="B361" s="3" t="s">
        <v>452</v>
      </c>
      <c r="C361" s="3" t="s">
        <v>11</v>
      </c>
      <c r="D361" s="3" t="s">
        <v>31</v>
      </c>
      <c r="E361" s="3" t="s">
        <v>24</v>
      </c>
      <c r="F361" s="3" t="n">
        <v>1</v>
      </c>
      <c r="G361" s="4" t="n">
        <v>62000</v>
      </c>
      <c r="H361" s="4" t="n">
        <f aca="false">F361*G361</f>
        <v>62000</v>
      </c>
    </row>
    <row r="362" customFormat="false" ht="15" hidden="false" customHeight="false" outlineLevel="0" collapsed="false">
      <c r="A362" s="3" t="s">
        <v>454</v>
      </c>
      <c r="B362" s="3" t="s">
        <v>452</v>
      </c>
      <c r="C362" s="3" t="s">
        <v>12</v>
      </c>
      <c r="D362" s="3" t="s">
        <v>23</v>
      </c>
      <c r="E362" s="3" t="s">
        <v>27</v>
      </c>
      <c r="F362" s="3" t="n">
        <v>5</v>
      </c>
      <c r="G362" s="4" t="n">
        <v>6500</v>
      </c>
      <c r="H362" s="4" t="n">
        <f aca="false">F362*G362</f>
        <v>32500</v>
      </c>
    </row>
    <row r="363" customFormat="false" ht="15" hidden="false" customHeight="false" outlineLevel="0" collapsed="false">
      <c r="A363" s="3" t="s">
        <v>455</v>
      </c>
      <c r="B363" s="3" t="s">
        <v>452</v>
      </c>
      <c r="C363" s="3" t="s">
        <v>8</v>
      </c>
      <c r="D363" s="3" t="s">
        <v>23</v>
      </c>
      <c r="E363" s="3" t="s">
        <v>24</v>
      </c>
      <c r="F363" s="3" t="n">
        <v>4</v>
      </c>
      <c r="G363" s="4" t="n">
        <v>6500</v>
      </c>
      <c r="H363" s="4" t="n">
        <f aca="false">F363*G363</f>
        <v>26000</v>
      </c>
    </row>
    <row r="364" customFormat="false" ht="15" hidden="false" customHeight="false" outlineLevel="0" collapsed="false">
      <c r="A364" s="3" t="s">
        <v>456</v>
      </c>
      <c r="B364" s="3" t="s">
        <v>452</v>
      </c>
      <c r="C364" s="3" t="s">
        <v>6</v>
      </c>
      <c r="D364" s="3" t="s">
        <v>34</v>
      </c>
      <c r="E364" s="3" t="s">
        <v>27</v>
      </c>
      <c r="F364" s="3" t="n">
        <v>2</v>
      </c>
      <c r="G364" s="4" t="n">
        <v>18500</v>
      </c>
      <c r="H364" s="4" t="n">
        <f aca="false">F364*G364</f>
        <v>37000</v>
      </c>
    </row>
    <row r="365" customFormat="false" ht="15" hidden="false" customHeight="false" outlineLevel="0" collapsed="false">
      <c r="A365" s="3" t="s">
        <v>457</v>
      </c>
      <c r="B365" s="3" t="s">
        <v>452</v>
      </c>
      <c r="C365" s="3" t="s">
        <v>6</v>
      </c>
      <c r="D365" s="3" t="s">
        <v>26</v>
      </c>
      <c r="E365" s="3" t="s">
        <v>24</v>
      </c>
      <c r="F365" s="3" t="n">
        <v>5</v>
      </c>
      <c r="G365" s="4" t="n">
        <v>2500</v>
      </c>
      <c r="H365" s="4" t="n">
        <f aca="false">F365*G365</f>
        <v>12500</v>
      </c>
    </row>
    <row r="366" customFormat="false" ht="15" hidden="false" customHeight="false" outlineLevel="0" collapsed="false">
      <c r="A366" s="3" t="s">
        <v>458</v>
      </c>
      <c r="B366" s="3" t="s">
        <v>452</v>
      </c>
      <c r="C366" s="3" t="s">
        <v>8</v>
      </c>
      <c r="D366" s="3" t="s">
        <v>26</v>
      </c>
      <c r="E366" s="3" t="s">
        <v>27</v>
      </c>
      <c r="F366" s="3" t="n">
        <v>1</v>
      </c>
      <c r="G366" s="4" t="n">
        <v>2500</v>
      </c>
      <c r="H366" s="4" t="n">
        <f aca="false">F366*G366</f>
        <v>2500</v>
      </c>
    </row>
    <row r="367" customFormat="false" ht="15" hidden="false" customHeight="false" outlineLevel="0" collapsed="false">
      <c r="A367" s="3" t="s">
        <v>459</v>
      </c>
      <c r="B367" s="3" t="s">
        <v>452</v>
      </c>
      <c r="C367" s="3" t="s">
        <v>12</v>
      </c>
      <c r="D367" s="3" t="s">
        <v>31</v>
      </c>
      <c r="E367" s="3" t="s">
        <v>24</v>
      </c>
      <c r="F367" s="3" t="n">
        <v>1</v>
      </c>
      <c r="G367" s="4" t="n">
        <v>62000</v>
      </c>
      <c r="H367" s="4" t="n">
        <f aca="false">F367*G367</f>
        <v>62000</v>
      </c>
    </row>
    <row r="368" customFormat="false" ht="15" hidden="false" customHeight="false" outlineLevel="0" collapsed="false">
      <c r="A368" s="3" t="s">
        <v>460</v>
      </c>
      <c r="B368" s="3" t="s">
        <v>452</v>
      </c>
      <c r="C368" s="3" t="s">
        <v>10</v>
      </c>
      <c r="D368" s="3" t="s">
        <v>26</v>
      </c>
      <c r="E368" s="3" t="s">
        <v>27</v>
      </c>
      <c r="F368" s="3" t="n">
        <v>3</v>
      </c>
      <c r="G368" s="4" t="n">
        <v>2500</v>
      </c>
      <c r="H368" s="4" t="n">
        <f aca="false">F368*G368</f>
        <v>7500</v>
      </c>
    </row>
    <row r="369" customFormat="false" ht="15" hidden="false" customHeight="false" outlineLevel="0" collapsed="false">
      <c r="A369" s="3" t="s">
        <v>461</v>
      </c>
      <c r="B369" s="3" t="s">
        <v>462</v>
      </c>
      <c r="C369" s="3" t="s">
        <v>11</v>
      </c>
      <c r="D369" s="3" t="s">
        <v>23</v>
      </c>
      <c r="E369" s="3" t="s">
        <v>27</v>
      </c>
      <c r="F369" s="3" t="n">
        <v>1</v>
      </c>
      <c r="G369" s="4" t="n">
        <v>6500</v>
      </c>
      <c r="H369" s="4" t="n">
        <f aca="false">F369*G369</f>
        <v>6500</v>
      </c>
    </row>
    <row r="370" customFormat="false" ht="15" hidden="false" customHeight="false" outlineLevel="0" collapsed="false">
      <c r="A370" s="3" t="s">
        <v>463</v>
      </c>
      <c r="B370" s="3" t="s">
        <v>462</v>
      </c>
      <c r="C370" s="3" t="s">
        <v>10</v>
      </c>
      <c r="D370" s="3" t="s">
        <v>34</v>
      </c>
      <c r="E370" s="3" t="s">
        <v>27</v>
      </c>
      <c r="F370" s="3" t="n">
        <v>2</v>
      </c>
      <c r="G370" s="4" t="n">
        <v>18500</v>
      </c>
      <c r="H370" s="4" t="n">
        <f aca="false">F370*G370</f>
        <v>37000</v>
      </c>
    </row>
    <row r="371" customFormat="false" ht="15" hidden="false" customHeight="false" outlineLevel="0" collapsed="false">
      <c r="A371" s="3" t="s">
        <v>464</v>
      </c>
      <c r="B371" s="3" t="s">
        <v>462</v>
      </c>
      <c r="C371" s="3" t="s">
        <v>8</v>
      </c>
      <c r="D371" s="3" t="s">
        <v>23</v>
      </c>
      <c r="E371" s="3" t="s">
        <v>24</v>
      </c>
      <c r="F371" s="3" t="n">
        <v>5</v>
      </c>
      <c r="G371" s="4" t="n">
        <v>6500</v>
      </c>
      <c r="H371" s="4" t="n">
        <f aca="false">F371*G371</f>
        <v>32500</v>
      </c>
    </row>
    <row r="372" customFormat="false" ht="15" hidden="false" customHeight="false" outlineLevel="0" collapsed="false">
      <c r="A372" s="3" t="s">
        <v>465</v>
      </c>
      <c r="B372" s="3" t="s">
        <v>462</v>
      </c>
      <c r="C372" s="3" t="s">
        <v>8</v>
      </c>
      <c r="D372" s="3" t="s">
        <v>26</v>
      </c>
      <c r="E372" s="3" t="s">
        <v>24</v>
      </c>
      <c r="F372" s="3" t="n">
        <v>5</v>
      </c>
      <c r="G372" s="4" t="n">
        <v>2500</v>
      </c>
      <c r="H372" s="4" t="n">
        <f aca="false">F372*G372</f>
        <v>12500</v>
      </c>
    </row>
    <row r="373" customFormat="false" ht="15" hidden="false" customHeight="false" outlineLevel="0" collapsed="false">
      <c r="A373" s="3" t="s">
        <v>466</v>
      </c>
      <c r="B373" s="3" t="s">
        <v>462</v>
      </c>
      <c r="C373" s="3" t="s">
        <v>8</v>
      </c>
      <c r="D373" s="3" t="s">
        <v>26</v>
      </c>
      <c r="E373" s="3" t="s">
        <v>27</v>
      </c>
      <c r="F373" s="3" t="n">
        <v>4</v>
      </c>
      <c r="G373" s="4" t="n">
        <v>2500</v>
      </c>
      <c r="H373" s="4" t="n">
        <f aca="false">F373*G373</f>
        <v>10000</v>
      </c>
    </row>
    <row r="374" customFormat="false" ht="15" hidden="false" customHeight="false" outlineLevel="0" collapsed="false">
      <c r="A374" s="3" t="s">
        <v>467</v>
      </c>
      <c r="B374" s="3" t="s">
        <v>462</v>
      </c>
      <c r="C374" s="3" t="s">
        <v>10</v>
      </c>
      <c r="D374" s="3" t="s">
        <v>40</v>
      </c>
      <c r="E374" s="3" t="s">
        <v>24</v>
      </c>
      <c r="F374" s="3" t="n">
        <v>2</v>
      </c>
      <c r="G374" s="4" t="n">
        <v>28000</v>
      </c>
      <c r="H374" s="4" t="n">
        <f aca="false">F374*G374</f>
        <v>56000</v>
      </c>
    </row>
    <row r="375" customFormat="false" ht="15" hidden="false" customHeight="false" outlineLevel="0" collapsed="false">
      <c r="A375" s="3" t="s">
        <v>468</v>
      </c>
      <c r="B375" s="3" t="s">
        <v>462</v>
      </c>
      <c r="C375" s="3" t="s">
        <v>6</v>
      </c>
      <c r="D375" s="3" t="s">
        <v>26</v>
      </c>
      <c r="E375" s="3" t="s">
        <v>24</v>
      </c>
      <c r="F375" s="3" t="n">
        <v>2</v>
      </c>
      <c r="G375" s="4" t="n">
        <v>2500</v>
      </c>
      <c r="H375" s="4" t="n">
        <f aca="false">F375*G375</f>
        <v>5000</v>
      </c>
    </row>
    <row r="376" customFormat="false" ht="15" hidden="false" customHeight="false" outlineLevel="0" collapsed="false">
      <c r="A376" s="3" t="s">
        <v>469</v>
      </c>
      <c r="B376" s="3" t="s">
        <v>470</v>
      </c>
      <c r="C376" s="3" t="s">
        <v>12</v>
      </c>
      <c r="D376" s="3" t="s">
        <v>23</v>
      </c>
      <c r="E376" s="3" t="s">
        <v>27</v>
      </c>
      <c r="F376" s="3" t="n">
        <v>4</v>
      </c>
      <c r="G376" s="4" t="n">
        <v>6500</v>
      </c>
      <c r="H376" s="4" t="n">
        <f aca="false">F376*G376</f>
        <v>26000</v>
      </c>
    </row>
    <row r="377" customFormat="false" ht="15" hidden="false" customHeight="false" outlineLevel="0" collapsed="false">
      <c r="A377" s="3" t="s">
        <v>471</v>
      </c>
      <c r="B377" s="3" t="s">
        <v>470</v>
      </c>
      <c r="C377" s="3" t="s">
        <v>8</v>
      </c>
      <c r="D377" s="3" t="s">
        <v>23</v>
      </c>
      <c r="E377" s="3" t="s">
        <v>24</v>
      </c>
      <c r="F377" s="3" t="n">
        <v>2</v>
      </c>
      <c r="G377" s="4" t="n">
        <v>6500</v>
      </c>
      <c r="H377" s="4" t="n">
        <f aca="false">F377*G377</f>
        <v>13000</v>
      </c>
    </row>
    <row r="378" customFormat="false" ht="15" hidden="false" customHeight="false" outlineLevel="0" collapsed="false">
      <c r="A378" s="3" t="s">
        <v>472</v>
      </c>
      <c r="B378" s="3" t="s">
        <v>470</v>
      </c>
      <c r="C378" s="3" t="s">
        <v>12</v>
      </c>
      <c r="D378" s="3" t="s">
        <v>40</v>
      </c>
      <c r="E378" s="3" t="s">
        <v>24</v>
      </c>
      <c r="F378" s="3" t="n">
        <v>1</v>
      </c>
      <c r="G378" s="4" t="n">
        <v>28000</v>
      </c>
      <c r="H378" s="4" t="n">
        <f aca="false">F378*G378</f>
        <v>28000</v>
      </c>
    </row>
    <row r="379" customFormat="false" ht="15" hidden="false" customHeight="false" outlineLevel="0" collapsed="false">
      <c r="A379" s="3" t="s">
        <v>473</v>
      </c>
      <c r="B379" s="3" t="s">
        <v>470</v>
      </c>
      <c r="C379" s="3" t="s">
        <v>6</v>
      </c>
      <c r="D379" s="3" t="s">
        <v>40</v>
      </c>
      <c r="E379" s="3" t="s">
        <v>27</v>
      </c>
      <c r="F379" s="3" t="n">
        <v>1</v>
      </c>
      <c r="G379" s="4" t="n">
        <v>28000</v>
      </c>
      <c r="H379" s="4" t="n">
        <f aca="false">F379*G379</f>
        <v>28000</v>
      </c>
    </row>
    <row r="380" customFormat="false" ht="15" hidden="false" customHeight="false" outlineLevel="0" collapsed="false">
      <c r="A380" s="3" t="s">
        <v>474</v>
      </c>
      <c r="B380" s="3" t="s">
        <v>470</v>
      </c>
      <c r="C380" s="3" t="s">
        <v>6</v>
      </c>
      <c r="D380" s="3" t="s">
        <v>23</v>
      </c>
      <c r="E380" s="3" t="s">
        <v>24</v>
      </c>
      <c r="F380" s="3" t="n">
        <v>4</v>
      </c>
      <c r="G380" s="4" t="n">
        <v>6500</v>
      </c>
      <c r="H380" s="4" t="n">
        <f aca="false">F380*G380</f>
        <v>26000</v>
      </c>
    </row>
    <row r="381" customFormat="false" ht="15" hidden="false" customHeight="false" outlineLevel="0" collapsed="false">
      <c r="A381" s="3" t="s">
        <v>475</v>
      </c>
      <c r="B381" s="3" t="s">
        <v>470</v>
      </c>
      <c r="C381" s="3" t="s">
        <v>6</v>
      </c>
      <c r="D381" s="3" t="s">
        <v>23</v>
      </c>
      <c r="E381" s="3" t="s">
        <v>24</v>
      </c>
      <c r="F381" s="3" t="n">
        <v>4</v>
      </c>
      <c r="G381" s="4" t="n">
        <v>6500</v>
      </c>
      <c r="H381" s="4" t="n">
        <f aca="false">F381*G381</f>
        <v>26000</v>
      </c>
    </row>
    <row r="382" customFormat="false" ht="15" hidden="false" customHeight="false" outlineLevel="0" collapsed="false">
      <c r="A382" s="3" t="s">
        <v>476</v>
      </c>
      <c r="B382" s="3" t="s">
        <v>470</v>
      </c>
      <c r="C382" s="3" t="s">
        <v>8</v>
      </c>
      <c r="D382" s="3" t="s">
        <v>31</v>
      </c>
      <c r="E382" s="3" t="s">
        <v>24</v>
      </c>
      <c r="F382" s="3" t="n">
        <v>2</v>
      </c>
      <c r="G382" s="4" t="n">
        <v>62000</v>
      </c>
      <c r="H382" s="4" t="n">
        <f aca="false">F382*G382</f>
        <v>124000</v>
      </c>
    </row>
    <row r="383" customFormat="false" ht="15" hidden="false" customHeight="false" outlineLevel="0" collapsed="false">
      <c r="A383" s="3" t="s">
        <v>477</v>
      </c>
      <c r="B383" s="3" t="s">
        <v>470</v>
      </c>
      <c r="C383" s="3" t="s">
        <v>8</v>
      </c>
      <c r="D383" s="3" t="s">
        <v>34</v>
      </c>
      <c r="E383" s="3" t="s">
        <v>24</v>
      </c>
      <c r="F383" s="3" t="n">
        <v>2</v>
      </c>
      <c r="G383" s="4" t="n">
        <v>18500</v>
      </c>
      <c r="H383" s="4" t="n">
        <f aca="false">F383*G383</f>
        <v>37000</v>
      </c>
    </row>
    <row r="384" customFormat="false" ht="15" hidden="false" customHeight="false" outlineLevel="0" collapsed="false">
      <c r="A384" s="3" t="s">
        <v>478</v>
      </c>
      <c r="B384" s="3" t="s">
        <v>470</v>
      </c>
      <c r="C384" s="3" t="s">
        <v>10</v>
      </c>
      <c r="D384" s="3" t="s">
        <v>34</v>
      </c>
      <c r="E384" s="3" t="s">
        <v>27</v>
      </c>
      <c r="F384" s="3" t="n">
        <v>2</v>
      </c>
      <c r="G384" s="4" t="n">
        <v>18500</v>
      </c>
      <c r="H384" s="4" t="n">
        <f aca="false">F384*G384</f>
        <v>37000</v>
      </c>
    </row>
    <row r="385" customFormat="false" ht="15" hidden="false" customHeight="false" outlineLevel="0" collapsed="false">
      <c r="A385" s="3" t="s">
        <v>479</v>
      </c>
      <c r="B385" s="3" t="s">
        <v>470</v>
      </c>
      <c r="C385" s="3" t="s">
        <v>8</v>
      </c>
      <c r="D385" s="3" t="s">
        <v>29</v>
      </c>
      <c r="E385" s="3" t="s">
        <v>24</v>
      </c>
      <c r="F385" s="3" t="n">
        <v>1</v>
      </c>
      <c r="G385" s="4" t="n">
        <v>45000</v>
      </c>
      <c r="H385" s="4" t="n">
        <f aca="false">F385*G385</f>
        <v>45000</v>
      </c>
    </row>
    <row r="386" customFormat="false" ht="15" hidden="false" customHeight="false" outlineLevel="0" collapsed="false">
      <c r="A386" s="3" t="s">
        <v>480</v>
      </c>
      <c r="B386" s="3" t="s">
        <v>481</v>
      </c>
      <c r="C386" s="3" t="s">
        <v>8</v>
      </c>
      <c r="D386" s="3" t="s">
        <v>31</v>
      </c>
      <c r="E386" s="3" t="s">
        <v>27</v>
      </c>
      <c r="F386" s="3" t="n">
        <v>1</v>
      </c>
      <c r="G386" s="4" t="n">
        <v>62000</v>
      </c>
      <c r="H386" s="4" t="n">
        <f aca="false">F386*G386</f>
        <v>62000</v>
      </c>
    </row>
    <row r="387" customFormat="false" ht="15" hidden="false" customHeight="false" outlineLevel="0" collapsed="false">
      <c r="A387" s="3" t="s">
        <v>482</v>
      </c>
      <c r="B387" s="3" t="s">
        <v>481</v>
      </c>
      <c r="C387" s="3" t="s">
        <v>10</v>
      </c>
      <c r="D387" s="3" t="s">
        <v>34</v>
      </c>
      <c r="E387" s="3" t="s">
        <v>24</v>
      </c>
      <c r="F387" s="3" t="n">
        <v>2</v>
      </c>
      <c r="G387" s="4" t="n">
        <v>18500</v>
      </c>
      <c r="H387" s="4" t="n">
        <f aca="false">F387*G387</f>
        <v>37000</v>
      </c>
    </row>
    <row r="388" customFormat="false" ht="15" hidden="false" customHeight="false" outlineLevel="0" collapsed="false">
      <c r="A388" s="3" t="s">
        <v>483</v>
      </c>
      <c r="B388" s="3" t="s">
        <v>481</v>
      </c>
      <c r="C388" s="3" t="s">
        <v>8</v>
      </c>
      <c r="D388" s="3" t="s">
        <v>29</v>
      </c>
      <c r="E388" s="3" t="s">
        <v>27</v>
      </c>
      <c r="F388" s="3" t="n">
        <v>2</v>
      </c>
      <c r="G388" s="4" t="n">
        <v>45000</v>
      </c>
      <c r="H388" s="4" t="n">
        <f aca="false">F388*G388</f>
        <v>90000</v>
      </c>
    </row>
    <row r="389" customFormat="false" ht="15" hidden="false" customHeight="false" outlineLevel="0" collapsed="false">
      <c r="A389" s="3" t="s">
        <v>484</v>
      </c>
      <c r="B389" s="3" t="s">
        <v>481</v>
      </c>
      <c r="C389" s="3" t="s">
        <v>6</v>
      </c>
      <c r="D389" s="3" t="s">
        <v>26</v>
      </c>
      <c r="E389" s="3" t="s">
        <v>24</v>
      </c>
      <c r="F389" s="3" t="n">
        <v>5</v>
      </c>
      <c r="G389" s="4" t="n">
        <v>2500</v>
      </c>
      <c r="H389" s="4" t="n">
        <f aca="false">F389*G389</f>
        <v>12500</v>
      </c>
    </row>
    <row r="390" customFormat="false" ht="15" hidden="false" customHeight="false" outlineLevel="0" collapsed="false">
      <c r="A390" s="3" t="s">
        <v>485</v>
      </c>
      <c r="B390" s="3" t="s">
        <v>486</v>
      </c>
      <c r="C390" s="3" t="s">
        <v>12</v>
      </c>
      <c r="D390" s="3" t="s">
        <v>26</v>
      </c>
      <c r="E390" s="3" t="s">
        <v>27</v>
      </c>
      <c r="F390" s="3" t="n">
        <v>5</v>
      </c>
      <c r="G390" s="4" t="n">
        <v>2500</v>
      </c>
      <c r="H390" s="4" t="n">
        <f aca="false">F390*G390</f>
        <v>12500</v>
      </c>
    </row>
    <row r="391" customFormat="false" ht="15" hidden="false" customHeight="false" outlineLevel="0" collapsed="false">
      <c r="A391" s="3" t="s">
        <v>487</v>
      </c>
      <c r="B391" s="3" t="s">
        <v>486</v>
      </c>
      <c r="C391" s="3" t="s">
        <v>6</v>
      </c>
      <c r="D391" s="3" t="s">
        <v>29</v>
      </c>
      <c r="E391" s="3" t="s">
        <v>24</v>
      </c>
      <c r="F391" s="3" t="n">
        <v>2</v>
      </c>
      <c r="G391" s="4" t="n">
        <v>45000</v>
      </c>
      <c r="H391" s="4" t="n">
        <f aca="false">F391*G391</f>
        <v>90000</v>
      </c>
    </row>
    <row r="392" customFormat="false" ht="15" hidden="false" customHeight="false" outlineLevel="0" collapsed="false">
      <c r="A392" s="3" t="s">
        <v>488</v>
      </c>
      <c r="B392" s="3" t="s">
        <v>486</v>
      </c>
      <c r="C392" s="3" t="s">
        <v>8</v>
      </c>
      <c r="D392" s="3" t="s">
        <v>40</v>
      </c>
      <c r="E392" s="3" t="s">
        <v>27</v>
      </c>
      <c r="F392" s="3" t="n">
        <v>1</v>
      </c>
      <c r="G392" s="4" t="n">
        <v>28000</v>
      </c>
      <c r="H392" s="4" t="n">
        <f aca="false">F392*G392</f>
        <v>28000</v>
      </c>
    </row>
    <row r="393" customFormat="false" ht="15" hidden="false" customHeight="false" outlineLevel="0" collapsed="false">
      <c r="A393" s="3" t="s">
        <v>489</v>
      </c>
      <c r="B393" s="3" t="s">
        <v>486</v>
      </c>
      <c r="C393" s="3" t="s">
        <v>10</v>
      </c>
      <c r="D393" s="3" t="s">
        <v>26</v>
      </c>
      <c r="E393" s="3" t="s">
        <v>24</v>
      </c>
      <c r="F393" s="3" t="n">
        <v>4</v>
      </c>
      <c r="G393" s="4" t="n">
        <v>2500</v>
      </c>
      <c r="H393" s="4" t="n">
        <f aca="false">F393*G393</f>
        <v>10000</v>
      </c>
    </row>
    <row r="394" customFormat="false" ht="15" hidden="false" customHeight="false" outlineLevel="0" collapsed="false">
      <c r="A394" s="3" t="s">
        <v>490</v>
      </c>
      <c r="B394" s="3" t="s">
        <v>486</v>
      </c>
      <c r="C394" s="3" t="s">
        <v>12</v>
      </c>
      <c r="D394" s="3" t="s">
        <v>26</v>
      </c>
      <c r="E394" s="3" t="s">
        <v>27</v>
      </c>
      <c r="F394" s="3" t="n">
        <v>5</v>
      </c>
      <c r="G394" s="4" t="n">
        <v>2500</v>
      </c>
      <c r="H394" s="4" t="n">
        <f aca="false">F394*G394</f>
        <v>12500</v>
      </c>
    </row>
    <row r="395" customFormat="false" ht="15" hidden="false" customHeight="false" outlineLevel="0" collapsed="false">
      <c r="A395" s="3" t="s">
        <v>491</v>
      </c>
      <c r="B395" s="3" t="s">
        <v>492</v>
      </c>
      <c r="C395" s="3" t="s">
        <v>12</v>
      </c>
      <c r="D395" s="3" t="s">
        <v>23</v>
      </c>
      <c r="E395" s="3" t="s">
        <v>27</v>
      </c>
      <c r="F395" s="3" t="n">
        <v>3</v>
      </c>
      <c r="G395" s="4" t="n">
        <v>6500</v>
      </c>
      <c r="H395" s="4" t="n">
        <f aca="false">F395*G395</f>
        <v>19500</v>
      </c>
    </row>
    <row r="396" customFormat="false" ht="15" hidden="false" customHeight="false" outlineLevel="0" collapsed="false">
      <c r="A396" s="3" t="s">
        <v>493</v>
      </c>
      <c r="B396" s="3" t="s">
        <v>494</v>
      </c>
      <c r="C396" s="3" t="s">
        <v>8</v>
      </c>
      <c r="D396" s="3" t="s">
        <v>23</v>
      </c>
      <c r="E396" s="3" t="s">
        <v>24</v>
      </c>
      <c r="F396" s="3" t="n">
        <v>2</v>
      </c>
      <c r="G396" s="4" t="n">
        <v>6500</v>
      </c>
      <c r="H396" s="4" t="n">
        <f aca="false">F396*G396</f>
        <v>13000</v>
      </c>
    </row>
    <row r="397" customFormat="false" ht="15" hidden="false" customHeight="false" outlineLevel="0" collapsed="false">
      <c r="A397" s="3" t="s">
        <v>495</v>
      </c>
      <c r="B397" s="3" t="s">
        <v>494</v>
      </c>
      <c r="C397" s="3" t="s">
        <v>12</v>
      </c>
      <c r="D397" s="3" t="s">
        <v>34</v>
      </c>
      <c r="E397" s="3" t="s">
        <v>27</v>
      </c>
      <c r="F397" s="3" t="n">
        <v>1</v>
      </c>
      <c r="G397" s="4" t="n">
        <v>18500</v>
      </c>
      <c r="H397" s="4" t="n">
        <f aca="false">F397*G397</f>
        <v>18500</v>
      </c>
    </row>
    <row r="398" customFormat="false" ht="15" hidden="false" customHeight="false" outlineLevel="0" collapsed="false">
      <c r="A398" s="3" t="s">
        <v>496</v>
      </c>
      <c r="B398" s="3" t="s">
        <v>494</v>
      </c>
      <c r="C398" s="3" t="s">
        <v>8</v>
      </c>
      <c r="D398" s="3" t="s">
        <v>29</v>
      </c>
      <c r="E398" s="3" t="s">
        <v>27</v>
      </c>
      <c r="F398" s="3" t="n">
        <v>1</v>
      </c>
      <c r="G398" s="4" t="n">
        <v>45000</v>
      </c>
      <c r="H398" s="4" t="n">
        <f aca="false">F398*G398</f>
        <v>45000</v>
      </c>
    </row>
    <row r="399" customFormat="false" ht="15" hidden="false" customHeight="false" outlineLevel="0" collapsed="false">
      <c r="A399" s="3" t="s">
        <v>497</v>
      </c>
      <c r="B399" s="3" t="s">
        <v>494</v>
      </c>
      <c r="C399" s="3" t="s">
        <v>6</v>
      </c>
      <c r="D399" s="3" t="s">
        <v>23</v>
      </c>
      <c r="E399" s="3" t="s">
        <v>24</v>
      </c>
      <c r="F399" s="3" t="n">
        <v>2</v>
      </c>
      <c r="G399" s="4" t="n">
        <v>6500</v>
      </c>
      <c r="H399" s="4" t="n">
        <f aca="false">F399*G399</f>
        <v>13000</v>
      </c>
    </row>
    <row r="400" customFormat="false" ht="15" hidden="false" customHeight="false" outlineLevel="0" collapsed="false">
      <c r="A400" s="3" t="s">
        <v>498</v>
      </c>
      <c r="B400" s="3" t="s">
        <v>494</v>
      </c>
      <c r="C400" s="3" t="s">
        <v>8</v>
      </c>
      <c r="D400" s="3" t="s">
        <v>34</v>
      </c>
      <c r="E400" s="3" t="s">
        <v>24</v>
      </c>
      <c r="F400" s="3" t="n">
        <v>1</v>
      </c>
      <c r="G400" s="4" t="n">
        <v>18500</v>
      </c>
      <c r="H400" s="4" t="n">
        <f aca="false">F400*G400</f>
        <v>18500</v>
      </c>
    </row>
    <row r="401" customFormat="false" ht="15" hidden="false" customHeight="false" outlineLevel="0" collapsed="false">
      <c r="A401" s="3" t="s">
        <v>499</v>
      </c>
      <c r="B401" s="3" t="s">
        <v>500</v>
      </c>
      <c r="C401" s="3" t="s">
        <v>10</v>
      </c>
      <c r="D401" s="3" t="s">
        <v>40</v>
      </c>
      <c r="E401" s="3" t="s">
        <v>24</v>
      </c>
      <c r="F401" s="3" t="n">
        <v>2</v>
      </c>
      <c r="G401" s="4" t="n">
        <v>28000</v>
      </c>
      <c r="H401" s="4" t="n">
        <f aca="false">F401*G401</f>
        <v>56000</v>
      </c>
    </row>
    <row r="402" customFormat="false" ht="15" hidden="false" customHeight="false" outlineLevel="0" collapsed="false">
      <c r="A402" s="3" t="s">
        <v>501</v>
      </c>
      <c r="B402" s="3" t="s">
        <v>500</v>
      </c>
      <c r="C402" s="3" t="s">
        <v>11</v>
      </c>
      <c r="D402" s="3" t="s">
        <v>29</v>
      </c>
      <c r="E402" s="3" t="s">
        <v>24</v>
      </c>
      <c r="F402" s="3" t="n">
        <v>2</v>
      </c>
      <c r="G402" s="4" t="n">
        <v>45000</v>
      </c>
      <c r="H402" s="4" t="n">
        <f aca="false">F402*G402</f>
        <v>90000</v>
      </c>
    </row>
    <row r="403" customFormat="false" ht="15" hidden="false" customHeight="false" outlineLevel="0" collapsed="false">
      <c r="A403" s="3" t="s">
        <v>502</v>
      </c>
      <c r="B403" s="3" t="s">
        <v>500</v>
      </c>
      <c r="C403" s="3" t="s">
        <v>8</v>
      </c>
      <c r="D403" s="3" t="s">
        <v>26</v>
      </c>
      <c r="E403" s="3" t="s">
        <v>24</v>
      </c>
      <c r="F403" s="3" t="n">
        <v>5</v>
      </c>
      <c r="G403" s="4" t="n">
        <v>2500</v>
      </c>
      <c r="H403" s="4" t="n">
        <f aca="false">F403*G403</f>
        <v>12500</v>
      </c>
    </row>
    <row r="404" customFormat="false" ht="15" hidden="false" customHeight="false" outlineLevel="0" collapsed="false">
      <c r="A404" s="3" t="s">
        <v>503</v>
      </c>
      <c r="B404" s="3" t="s">
        <v>500</v>
      </c>
      <c r="C404" s="3" t="s">
        <v>6</v>
      </c>
      <c r="D404" s="3" t="s">
        <v>29</v>
      </c>
      <c r="E404" s="3" t="s">
        <v>24</v>
      </c>
      <c r="F404" s="3" t="n">
        <v>1</v>
      </c>
      <c r="G404" s="4" t="n">
        <v>45000</v>
      </c>
      <c r="H404" s="4" t="n">
        <f aca="false">F404*G404</f>
        <v>45000</v>
      </c>
    </row>
    <row r="405" customFormat="false" ht="15" hidden="false" customHeight="false" outlineLevel="0" collapsed="false">
      <c r="A405" s="3" t="s">
        <v>504</v>
      </c>
      <c r="B405" s="3" t="s">
        <v>500</v>
      </c>
      <c r="C405" s="3" t="s">
        <v>6</v>
      </c>
      <c r="D405" s="3" t="s">
        <v>40</v>
      </c>
      <c r="E405" s="3" t="s">
        <v>24</v>
      </c>
      <c r="F405" s="3" t="n">
        <v>2</v>
      </c>
      <c r="G405" s="4" t="n">
        <v>28000</v>
      </c>
      <c r="H405" s="4" t="n">
        <f aca="false">F405*G405</f>
        <v>56000</v>
      </c>
    </row>
    <row r="406" customFormat="false" ht="15" hidden="false" customHeight="false" outlineLevel="0" collapsed="false">
      <c r="A406" s="3" t="s">
        <v>505</v>
      </c>
      <c r="B406" s="3" t="s">
        <v>500</v>
      </c>
      <c r="C406" s="3" t="s">
        <v>6</v>
      </c>
      <c r="D406" s="3" t="s">
        <v>40</v>
      </c>
      <c r="E406" s="3" t="s">
        <v>27</v>
      </c>
      <c r="F406" s="3" t="n">
        <v>1</v>
      </c>
      <c r="G406" s="4" t="n">
        <v>28000</v>
      </c>
      <c r="H406" s="4" t="n">
        <f aca="false">F406*G406</f>
        <v>28000</v>
      </c>
    </row>
    <row r="407" customFormat="false" ht="15" hidden="false" customHeight="false" outlineLevel="0" collapsed="false">
      <c r="A407" s="3" t="s">
        <v>506</v>
      </c>
      <c r="B407" s="3" t="s">
        <v>500</v>
      </c>
      <c r="C407" s="3" t="s">
        <v>8</v>
      </c>
      <c r="D407" s="3" t="s">
        <v>31</v>
      </c>
      <c r="E407" s="3" t="s">
        <v>24</v>
      </c>
      <c r="F407" s="3" t="n">
        <v>1</v>
      </c>
      <c r="G407" s="4" t="n">
        <v>62000</v>
      </c>
      <c r="H407" s="4" t="n">
        <f aca="false">F407*G407</f>
        <v>62000</v>
      </c>
    </row>
    <row r="408" customFormat="false" ht="15" hidden="false" customHeight="false" outlineLevel="0" collapsed="false">
      <c r="A408" s="3" t="s">
        <v>507</v>
      </c>
      <c r="B408" s="3" t="s">
        <v>508</v>
      </c>
      <c r="C408" s="3" t="s">
        <v>10</v>
      </c>
      <c r="D408" s="3" t="s">
        <v>23</v>
      </c>
      <c r="E408" s="3" t="s">
        <v>27</v>
      </c>
      <c r="F408" s="3" t="n">
        <v>4</v>
      </c>
      <c r="G408" s="4" t="n">
        <v>6500</v>
      </c>
      <c r="H408" s="4" t="n">
        <f aca="false">F408*G408</f>
        <v>26000</v>
      </c>
    </row>
    <row r="409" customFormat="false" ht="15" hidden="false" customHeight="false" outlineLevel="0" collapsed="false">
      <c r="A409" s="3" t="s">
        <v>509</v>
      </c>
      <c r="B409" s="3" t="s">
        <v>508</v>
      </c>
      <c r="C409" s="3" t="s">
        <v>6</v>
      </c>
      <c r="D409" s="3" t="s">
        <v>23</v>
      </c>
      <c r="E409" s="3" t="s">
        <v>27</v>
      </c>
      <c r="F409" s="3" t="n">
        <v>3</v>
      </c>
      <c r="G409" s="4" t="n">
        <v>6500</v>
      </c>
      <c r="H409" s="4" t="n">
        <f aca="false">F409*G409</f>
        <v>19500</v>
      </c>
    </row>
    <row r="410" customFormat="false" ht="15" hidden="false" customHeight="false" outlineLevel="0" collapsed="false">
      <c r="A410" s="3" t="s">
        <v>510</v>
      </c>
      <c r="B410" s="3" t="s">
        <v>508</v>
      </c>
      <c r="C410" s="3" t="s">
        <v>10</v>
      </c>
      <c r="D410" s="3" t="s">
        <v>34</v>
      </c>
      <c r="E410" s="3" t="s">
        <v>27</v>
      </c>
      <c r="F410" s="3" t="n">
        <v>1</v>
      </c>
      <c r="G410" s="4" t="n">
        <v>18500</v>
      </c>
      <c r="H410" s="4" t="n">
        <f aca="false">F410*G410</f>
        <v>18500</v>
      </c>
    </row>
    <row r="411" customFormat="false" ht="15" hidden="false" customHeight="false" outlineLevel="0" collapsed="false">
      <c r="A411" s="3" t="s">
        <v>511</v>
      </c>
      <c r="B411" s="3" t="s">
        <v>508</v>
      </c>
      <c r="C411" s="3" t="s">
        <v>10</v>
      </c>
      <c r="D411" s="3" t="s">
        <v>34</v>
      </c>
      <c r="E411" s="3" t="s">
        <v>24</v>
      </c>
      <c r="F411" s="3" t="n">
        <v>2</v>
      </c>
      <c r="G411" s="4" t="n">
        <v>18500</v>
      </c>
      <c r="H411" s="4" t="n">
        <f aca="false">F411*G411</f>
        <v>37000</v>
      </c>
    </row>
    <row r="412" customFormat="false" ht="15" hidden="false" customHeight="false" outlineLevel="0" collapsed="false">
      <c r="A412" s="3" t="s">
        <v>512</v>
      </c>
      <c r="B412" s="3" t="s">
        <v>508</v>
      </c>
      <c r="C412" s="3" t="s">
        <v>6</v>
      </c>
      <c r="D412" s="3" t="s">
        <v>26</v>
      </c>
      <c r="E412" s="3" t="s">
        <v>24</v>
      </c>
      <c r="F412" s="3" t="n">
        <v>3</v>
      </c>
      <c r="G412" s="4" t="n">
        <v>2500</v>
      </c>
      <c r="H412" s="4" t="n">
        <f aca="false">F412*G412</f>
        <v>7500</v>
      </c>
    </row>
    <row r="413" customFormat="false" ht="15" hidden="false" customHeight="false" outlineLevel="0" collapsed="false">
      <c r="A413" s="3" t="s">
        <v>513</v>
      </c>
      <c r="B413" s="3" t="s">
        <v>508</v>
      </c>
      <c r="C413" s="3" t="s">
        <v>8</v>
      </c>
      <c r="D413" s="3" t="s">
        <v>34</v>
      </c>
      <c r="E413" s="3" t="s">
        <v>24</v>
      </c>
      <c r="F413" s="3" t="n">
        <v>2</v>
      </c>
      <c r="G413" s="4" t="n">
        <v>18500</v>
      </c>
      <c r="H413" s="4" t="n">
        <f aca="false">F413*G413</f>
        <v>37000</v>
      </c>
    </row>
    <row r="414" customFormat="false" ht="15" hidden="false" customHeight="false" outlineLevel="0" collapsed="false">
      <c r="A414" s="3" t="s">
        <v>514</v>
      </c>
      <c r="B414" s="3" t="s">
        <v>508</v>
      </c>
      <c r="C414" s="3" t="s">
        <v>12</v>
      </c>
      <c r="D414" s="3" t="s">
        <v>34</v>
      </c>
      <c r="E414" s="3" t="s">
        <v>27</v>
      </c>
      <c r="F414" s="3" t="n">
        <v>1</v>
      </c>
      <c r="G414" s="4" t="n">
        <v>18500</v>
      </c>
      <c r="H414" s="4" t="n">
        <f aca="false">F414*G414</f>
        <v>18500</v>
      </c>
    </row>
    <row r="415" customFormat="false" ht="15" hidden="false" customHeight="false" outlineLevel="0" collapsed="false">
      <c r="A415" s="3" t="s">
        <v>515</v>
      </c>
      <c r="B415" s="3" t="s">
        <v>508</v>
      </c>
      <c r="C415" s="3" t="s">
        <v>8</v>
      </c>
      <c r="D415" s="3" t="s">
        <v>23</v>
      </c>
      <c r="E415" s="3" t="s">
        <v>24</v>
      </c>
      <c r="F415" s="3" t="n">
        <v>2</v>
      </c>
      <c r="G415" s="4" t="n">
        <v>6500</v>
      </c>
      <c r="H415" s="4" t="n">
        <f aca="false">F415*G415</f>
        <v>13000</v>
      </c>
    </row>
    <row r="416" customFormat="false" ht="15" hidden="false" customHeight="false" outlineLevel="0" collapsed="false">
      <c r="A416" s="3" t="s">
        <v>516</v>
      </c>
      <c r="B416" s="3" t="s">
        <v>517</v>
      </c>
      <c r="C416" s="3" t="s">
        <v>6</v>
      </c>
      <c r="D416" s="3" t="s">
        <v>40</v>
      </c>
      <c r="E416" s="3" t="s">
        <v>27</v>
      </c>
      <c r="F416" s="3" t="n">
        <v>1</v>
      </c>
      <c r="G416" s="4" t="n">
        <v>28000</v>
      </c>
      <c r="H416" s="4" t="n">
        <f aca="false">F416*G416</f>
        <v>28000</v>
      </c>
    </row>
    <row r="417" customFormat="false" ht="15" hidden="false" customHeight="false" outlineLevel="0" collapsed="false">
      <c r="A417" s="3" t="s">
        <v>518</v>
      </c>
      <c r="B417" s="3" t="s">
        <v>517</v>
      </c>
      <c r="C417" s="3" t="s">
        <v>10</v>
      </c>
      <c r="D417" s="3" t="s">
        <v>23</v>
      </c>
      <c r="E417" s="3" t="s">
        <v>24</v>
      </c>
      <c r="F417" s="3" t="n">
        <v>2</v>
      </c>
      <c r="G417" s="4" t="n">
        <v>6500</v>
      </c>
      <c r="H417" s="4" t="n">
        <f aca="false">F417*G417</f>
        <v>13000</v>
      </c>
    </row>
    <row r="418" customFormat="false" ht="15" hidden="false" customHeight="false" outlineLevel="0" collapsed="false">
      <c r="A418" s="3" t="s">
        <v>519</v>
      </c>
      <c r="B418" s="3" t="s">
        <v>517</v>
      </c>
      <c r="C418" s="3" t="s">
        <v>8</v>
      </c>
      <c r="D418" s="3" t="s">
        <v>40</v>
      </c>
      <c r="E418" s="3" t="s">
        <v>24</v>
      </c>
      <c r="F418" s="3" t="n">
        <v>1</v>
      </c>
      <c r="G418" s="4" t="n">
        <v>28000</v>
      </c>
      <c r="H418" s="4" t="n">
        <f aca="false">F418*G418</f>
        <v>28000</v>
      </c>
    </row>
    <row r="419" customFormat="false" ht="15" hidden="false" customHeight="false" outlineLevel="0" collapsed="false">
      <c r="A419" s="3" t="s">
        <v>520</v>
      </c>
      <c r="B419" s="3" t="s">
        <v>517</v>
      </c>
      <c r="C419" s="3" t="s">
        <v>8</v>
      </c>
      <c r="D419" s="3" t="s">
        <v>34</v>
      </c>
      <c r="E419" s="3" t="s">
        <v>24</v>
      </c>
      <c r="F419" s="3" t="n">
        <v>1</v>
      </c>
      <c r="G419" s="4" t="n">
        <v>18500</v>
      </c>
      <c r="H419" s="4" t="n">
        <f aca="false">F419*G419</f>
        <v>18500</v>
      </c>
    </row>
    <row r="420" customFormat="false" ht="15" hidden="false" customHeight="false" outlineLevel="0" collapsed="false">
      <c r="A420" s="3" t="s">
        <v>521</v>
      </c>
      <c r="B420" s="3" t="s">
        <v>517</v>
      </c>
      <c r="C420" s="3" t="s">
        <v>8</v>
      </c>
      <c r="D420" s="3" t="s">
        <v>29</v>
      </c>
      <c r="E420" s="3" t="s">
        <v>27</v>
      </c>
      <c r="F420" s="3" t="n">
        <v>1</v>
      </c>
      <c r="G420" s="4" t="n">
        <v>45000</v>
      </c>
      <c r="H420" s="4" t="n">
        <f aca="false">F420*G420</f>
        <v>45000</v>
      </c>
    </row>
    <row r="421" customFormat="false" ht="15" hidden="false" customHeight="false" outlineLevel="0" collapsed="false">
      <c r="A421" s="3" t="s">
        <v>522</v>
      </c>
      <c r="B421" s="3" t="s">
        <v>523</v>
      </c>
      <c r="C421" s="3" t="s">
        <v>8</v>
      </c>
      <c r="D421" s="3" t="s">
        <v>29</v>
      </c>
      <c r="E421" s="3" t="s">
        <v>24</v>
      </c>
      <c r="F421" s="3" t="n">
        <v>1</v>
      </c>
      <c r="G421" s="4" t="n">
        <v>45000</v>
      </c>
      <c r="H421" s="4" t="n">
        <f aca="false">F421*G421</f>
        <v>45000</v>
      </c>
    </row>
    <row r="422" customFormat="false" ht="15" hidden="false" customHeight="false" outlineLevel="0" collapsed="false">
      <c r="A422" s="3" t="s">
        <v>524</v>
      </c>
      <c r="B422" s="3" t="s">
        <v>523</v>
      </c>
      <c r="C422" s="3" t="s">
        <v>11</v>
      </c>
      <c r="D422" s="3" t="s">
        <v>34</v>
      </c>
      <c r="E422" s="3" t="s">
        <v>24</v>
      </c>
      <c r="F422" s="3" t="n">
        <v>2</v>
      </c>
      <c r="G422" s="4" t="n">
        <v>18500</v>
      </c>
      <c r="H422" s="4" t="n">
        <f aca="false">F422*G422</f>
        <v>37000</v>
      </c>
    </row>
    <row r="423" customFormat="false" ht="15" hidden="false" customHeight="false" outlineLevel="0" collapsed="false">
      <c r="A423" s="3" t="s">
        <v>525</v>
      </c>
      <c r="B423" s="3" t="s">
        <v>523</v>
      </c>
      <c r="C423" s="3" t="s">
        <v>11</v>
      </c>
      <c r="D423" s="3" t="s">
        <v>34</v>
      </c>
      <c r="E423" s="3" t="s">
        <v>27</v>
      </c>
      <c r="F423" s="3" t="n">
        <v>1</v>
      </c>
      <c r="G423" s="4" t="n">
        <v>18500</v>
      </c>
      <c r="H423" s="4" t="n">
        <f aca="false">F423*G423</f>
        <v>18500</v>
      </c>
    </row>
    <row r="424" customFormat="false" ht="15" hidden="false" customHeight="false" outlineLevel="0" collapsed="false">
      <c r="A424" s="3" t="s">
        <v>526</v>
      </c>
      <c r="B424" s="3" t="s">
        <v>523</v>
      </c>
      <c r="C424" s="3" t="s">
        <v>6</v>
      </c>
      <c r="D424" s="3" t="s">
        <v>23</v>
      </c>
      <c r="E424" s="3" t="s">
        <v>24</v>
      </c>
      <c r="F424" s="3" t="n">
        <v>4</v>
      </c>
      <c r="G424" s="4" t="n">
        <v>6500</v>
      </c>
      <c r="H424" s="4" t="n">
        <f aca="false">F424*G424</f>
        <v>26000</v>
      </c>
    </row>
    <row r="425" customFormat="false" ht="15" hidden="false" customHeight="false" outlineLevel="0" collapsed="false">
      <c r="A425" s="3" t="s">
        <v>527</v>
      </c>
      <c r="B425" s="3" t="s">
        <v>523</v>
      </c>
      <c r="C425" s="3" t="s">
        <v>6</v>
      </c>
      <c r="D425" s="3" t="s">
        <v>26</v>
      </c>
      <c r="E425" s="3" t="s">
        <v>24</v>
      </c>
      <c r="F425" s="3" t="n">
        <v>1</v>
      </c>
      <c r="G425" s="4" t="n">
        <v>2500</v>
      </c>
      <c r="H425" s="4" t="n">
        <f aca="false">F425*G425</f>
        <v>2500</v>
      </c>
    </row>
    <row r="426" customFormat="false" ht="15" hidden="false" customHeight="false" outlineLevel="0" collapsed="false">
      <c r="A426" s="3" t="s">
        <v>528</v>
      </c>
      <c r="B426" s="3" t="s">
        <v>523</v>
      </c>
      <c r="C426" s="3" t="s">
        <v>6</v>
      </c>
      <c r="D426" s="3" t="s">
        <v>23</v>
      </c>
      <c r="E426" s="3" t="s">
        <v>24</v>
      </c>
      <c r="F426" s="3" t="n">
        <v>2</v>
      </c>
      <c r="G426" s="4" t="n">
        <v>6500</v>
      </c>
      <c r="H426" s="4" t="n">
        <f aca="false">F426*G426</f>
        <v>13000</v>
      </c>
    </row>
    <row r="427" customFormat="false" ht="15" hidden="false" customHeight="false" outlineLevel="0" collapsed="false">
      <c r="A427" s="3" t="s">
        <v>529</v>
      </c>
      <c r="B427" s="3" t="s">
        <v>523</v>
      </c>
      <c r="C427" s="3" t="s">
        <v>8</v>
      </c>
      <c r="D427" s="3" t="s">
        <v>31</v>
      </c>
      <c r="E427" s="3" t="s">
        <v>24</v>
      </c>
      <c r="F427" s="3" t="n">
        <v>1</v>
      </c>
      <c r="G427" s="4" t="n">
        <v>62000</v>
      </c>
      <c r="H427" s="4" t="n">
        <f aca="false">F427*G427</f>
        <v>62000</v>
      </c>
    </row>
    <row r="428" customFormat="false" ht="15" hidden="false" customHeight="false" outlineLevel="0" collapsed="false">
      <c r="A428" s="3" t="s">
        <v>530</v>
      </c>
      <c r="B428" s="3" t="s">
        <v>531</v>
      </c>
      <c r="C428" s="3" t="s">
        <v>8</v>
      </c>
      <c r="D428" s="3" t="s">
        <v>34</v>
      </c>
      <c r="E428" s="3" t="s">
        <v>27</v>
      </c>
      <c r="F428" s="3" t="n">
        <v>1</v>
      </c>
      <c r="G428" s="4" t="n">
        <v>18500</v>
      </c>
      <c r="H428" s="4" t="n">
        <f aca="false">F428*G428</f>
        <v>18500</v>
      </c>
    </row>
    <row r="429" customFormat="false" ht="15" hidden="false" customHeight="false" outlineLevel="0" collapsed="false">
      <c r="A429" s="3" t="s">
        <v>532</v>
      </c>
      <c r="B429" s="3" t="s">
        <v>531</v>
      </c>
      <c r="C429" s="3" t="s">
        <v>8</v>
      </c>
      <c r="D429" s="3" t="s">
        <v>34</v>
      </c>
      <c r="E429" s="3" t="s">
        <v>24</v>
      </c>
      <c r="F429" s="3" t="n">
        <v>1</v>
      </c>
      <c r="G429" s="4" t="n">
        <v>18500</v>
      </c>
      <c r="H429" s="4" t="n">
        <f aca="false">F429*G429</f>
        <v>18500</v>
      </c>
    </row>
    <row r="430" customFormat="false" ht="15" hidden="false" customHeight="false" outlineLevel="0" collapsed="false">
      <c r="A430" s="3" t="s">
        <v>533</v>
      </c>
      <c r="B430" s="3" t="s">
        <v>531</v>
      </c>
      <c r="C430" s="3" t="s">
        <v>6</v>
      </c>
      <c r="D430" s="3" t="s">
        <v>31</v>
      </c>
      <c r="E430" s="3" t="s">
        <v>27</v>
      </c>
      <c r="F430" s="3" t="n">
        <v>1</v>
      </c>
      <c r="G430" s="4" t="n">
        <v>62000</v>
      </c>
      <c r="H430" s="4" t="n">
        <f aca="false">F430*G430</f>
        <v>62000</v>
      </c>
    </row>
    <row r="431" customFormat="false" ht="15" hidden="false" customHeight="false" outlineLevel="0" collapsed="false">
      <c r="A431" s="3" t="s">
        <v>534</v>
      </c>
      <c r="B431" s="3" t="s">
        <v>531</v>
      </c>
      <c r="C431" s="3" t="s">
        <v>6</v>
      </c>
      <c r="D431" s="3" t="s">
        <v>34</v>
      </c>
      <c r="E431" s="3" t="s">
        <v>24</v>
      </c>
      <c r="F431" s="3" t="n">
        <v>1</v>
      </c>
      <c r="G431" s="4" t="n">
        <v>18500</v>
      </c>
      <c r="H431" s="4" t="n">
        <f aca="false">F431*G431</f>
        <v>18500</v>
      </c>
    </row>
    <row r="432" customFormat="false" ht="15" hidden="false" customHeight="false" outlineLevel="0" collapsed="false">
      <c r="A432" s="3" t="s">
        <v>535</v>
      </c>
      <c r="B432" s="3" t="s">
        <v>531</v>
      </c>
      <c r="C432" s="3" t="s">
        <v>6</v>
      </c>
      <c r="D432" s="3" t="s">
        <v>23</v>
      </c>
      <c r="E432" s="3" t="s">
        <v>24</v>
      </c>
      <c r="F432" s="3" t="n">
        <v>2</v>
      </c>
      <c r="G432" s="4" t="n">
        <v>6500</v>
      </c>
      <c r="H432" s="4" t="n">
        <f aca="false">F432*G432</f>
        <v>13000</v>
      </c>
    </row>
    <row r="433" customFormat="false" ht="15" hidden="false" customHeight="false" outlineLevel="0" collapsed="false">
      <c r="A433" s="3" t="s">
        <v>536</v>
      </c>
      <c r="B433" s="3" t="s">
        <v>531</v>
      </c>
      <c r="C433" s="3" t="s">
        <v>6</v>
      </c>
      <c r="D433" s="3" t="s">
        <v>29</v>
      </c>
      <c r="E433" s="3" t="s">
        <v>24</v>
      </c>
      <c r="F433" s="3" t="n">
        <v>1</v>
      </c>
      <c r="G433" s="4" t="n">
        <v>45000</v>
      </c>
      <c r="H433" s="4" t="n">
        <f aca="false">F433*G433</f>
        <v>45000</v>
      </c>
    </row>
    <row r="434" customFormat="false" ht="15" hidden="false" customHeight="false" outlineLevel="0" collapsed="false">
      <c r="A434" s="3" t="s">
        <v>537</v>
      </c>
      <c r="B434" s="3" t="s">
        <v>538</v>
      </c>
      <c r="C434" s="3" t="s">
        <v>10</v>
      </c>
      <c r="D434" s="3" t="s">
        <v>23</v>
      </c>
      <c r="E434" s="3" t="s">
        <v>24</v>
      </c>
      <c r="F434" s="3" t="n">
        <v>4</v>
      </c>
      <c r="G434" s="4" t="n">
        <v>6500</v>
      </c>
      <c r="H434" s="4" t="n">
        <f aca="false">F434*G434</f>
        <v>26000</v>
      </c>
    </row>
    <row r="435" customFormat="false" ht="15" hidden="false" customHeight="false" outlineLevel="0" collapsed="false">
      <c r="A435" s="3" t="s">
        <v>539</v>
      </c>
      <c r="B435" s="3" t="s">
        <v>538</v>
      </c>
      <c r="C435" s="3" t="s">
        <v>11</v>
      </c>
      <c r="D435" s="3" t="s">
        <v>40</v>
      </c>
      <c r="E435" s="3" t="s">
        <v>24</v>
      </c>
      <c r="F435" s="3" t="n">
        <v>1</v>
      </c>
      <c r="G435" s="4" t="n">
        <v>28000</v>
      </c>
      <c r="H435" s="4" t="n">
        <f aca="false">F435*G435</f>
        <v>28000</v>
      </c>
    </row>
    <row r="436" customFormat="false" ht="15" hidden="false" customHeight="false" outlineLevel="0" collapsed="false">
      <c r="A436" s="3" t="s">
        <v>540</v>
      </c>
      <c r="B436" s="3" t="s">
        <v>538</v>
      </c>
      <c r="C436" s="3" t="s">
        <v>6</v>
      </c>
      <c r="D436" s="3" t="s">
        <v>40</v>
      </c>
      <c r="E436" s="3" t="s">
        <v>27</v>
      </c>
      <c r="F436" s="3" t="n">
        <v>1</v>
      </c>
      <c r="G436" s="4" t="n">
        <v>28000</v>
      </c>
      <c r="H436" s="4" t="n">
        <f aca="false">F436*G436</f>
        <v>28000</v>
      </c>
    </row>
    <row r="437" customFormat="false" ht="15" hidden="false" customHeight="false" outlineLevel="0" collapsed="false">
      <c r="A437" s="3" t="s">
        <v>541</v>
      </c>
      <c r="B437" s="3" t="s">
        <v>538</v>
      </c>
      <c r="C437" s="3" t="s">
        <v>10</v>
      </c>
      <c r="D437" s="3" t="s">
        <v>26</v>
      </c>
      <c r="E437" s="3" t="s">
        <v>24</v>
      </c>
      <c r="F437" s="3" t="n">
        <v>1</v>
      </c>
      <c r="G437" s="4" t="n">
        <v>2500</v>
      </c>
      <c r="H437" s="4" t="n">
        <f aca="false">F437*G437</f>
        <v>2500</v>
      </c>
    </row>
    <row r="438" customFormat="false" ht="15" hidden="false" customHeight="false" outlineLevel="0" collapsed="false">
      <c r="A438" s="3" t="s">
        <v>542</v>
      </c>
      <c r="B438" s="3" t="s">
        <v>538</v>
      </c>
      <c r="C438" s="3" t="s">
        <v>8</v>
      </c>
      <c r="D438" s="3" t="s">
        <v>34</v>
      </c>
      <c r="E438" s="3" t="s">
        <v>24</v>
      </c>
      <c r="F438" s="3" t="n">
        <v>2</v>
      </c>
      <c r="G438" s="4" t="n">
        <v>18500</v>
      </c>
      <c r="H438" s="4" t="n">
        <f aca="false">F438*G438</f>
        <v>37000</v>
      </c>
    </row>
    <row r="439" customFormat="false" ht="15" hidden="false" customHeight="false" outlineLevel="0" collapsed="false">
      <c r="A439" s="3" t="s">
        <v>543</v>
      </c>
      <c r="B439" s="3" t="s">
        <v>538</v>
      </c>
      <c r="C439" s="3" t="s">
        <v>6</v>
      </c>
      <c r="D439" s="3" t="s">
        <v>29</v>
      </c>
      <c r="E439" s="3" t="s">
        <v>24</v>
      </c>
      <c r="F439" s="3" t="n">
        <v>2</v>
      </c>
      <c r="G439" s="4" t="n">
        <v>45000</v>
      </c>
      <c r="H439" s="4" t="n">
        <f aca="false">F439*G439</f>
        <v>90000</v>
      </c>
    </row>
    <row r="440" customFormat="false" ht="15" hidden="false" customHeight="false" outlineLevel="0" collapsed="false">
      <c r="A440" s="3" t="s">
        <v>544</v>
      </c>
      <c r="B440" s="3" t="s">
        <v>545</v>
      </c>
      <c r="C440" s="3" t="s">
        <v>10</v>
      </c>
      <c r="D440" s="3" t="s">
        <v>31</v>
      </c>
      <c r="E440" s="3" t="s">
        <v>24</v>
      </c>
      <c r="F440" s="3" t="n">
        <v>1</v>
      </c>
      <c r="G440" s="4" t="n">
        <v>62000</v>
      </c>
      <c r="H440" s="4" t="n">
        <f aca="false">F440*G440</f>
        <v>62000</v>
      </c>
    </row>
    <row r="441" customFormat="false" ht="15" hidden="false" customHeight="false" outlineLevel="0" collapsed="false">
      <c r="A441" s="3" t="s">
        <v>546</v>
      </c>
      <c r="B441" s="3" t="s">
        <v>545</v>
      </c>
      <c r="C441" s="3" t="s">
        <v>6</v>
      </c>
      <c r="D441" s="3" t="s">
        <v>31</v>
      </c>
      <c r="E441" s="3" t="s">
        <v>24</v>
      </c>
      <c r="F441" s="3" t="n">
        <v>2</v>
      </c>
      <c r="G441" s="4" t="n">
        <v>62000</v>
      </c>
      <c r="H441" s="4" t="n">
        <f aca="false">F441*G441</f>
        <v>124000</v>
      </c>
    </row>
    <row r="442" customFormat="false" ht="15" hidden="false" customHeight="false" outlineLevel="0" collapsed="false">
      <c r="A442" s="3" t="s">
        <v>547</v>
      </c>
      <c r="B442" s="3" t="s">
        <v>545</v>
      </c>
      <c r="C442" s="3" t="s">
        <v>8</v>
      </c>
      <c r="D442" s="3" t="s">
        <v>34</v>
      </c>
      <c r="E442" s="3" t="s">
        <v>27</v>
      </c>
      <c r="F442" s="3" t="n">
        <v>1</v>
      </c>
      <c r="G442" s="4" t="n">
        <v>18500</v>
      </c>
      <c r="H442" s="4" t="n">
        <f aca="false">F442*G442</f>
        <v>18500</v>
      </c>
    </row>
    <row r="443" customFormat="false" ht="15" hidden="false" customHeight="false" outlineLevel="0" collapsed="false">
      <c r="A443" s="3" t="s">
        <v>548</v>
      </c>
      <c r="B443" s="3" t="s">
        <v>545</v>
      </c>
      <c r="C443" s="3" t="s">
        <v>8</v>
      </c>
      <c r="D443" s="3" t="s">
        <v>40</v>
      </c>
      <c r="E443" s="3" t="s">
        <v>27</v>
      </c>
      <c r="F443" s="3" t="n">
        <v>2</v>
      </c>
      <c r="G443" s="4" t="n">
        <v>28000</v>
      </c>
      <c r="H443" s="4" t="n">
        <f aca="false">F443*G443</f>
        <v>56000</v>
      </c>
    </row>
    <row r="444" customFormat="false" ht="15" hidden="false" customHeight="false" outlineLevel="0" collapsed="false">
      <c r="A444" s="3" t="s">
        <v>549</v>
      </c>
      <c r="B444" s="3" t="s">
        <v>545</v>
      </c>
      <c r="C444" s="3" t="s">
        <v>11</v>
      </c>
      <c r="D444" s="3" t="s">
        <v>40</v>
      </c>
      <c r="E444" s="3" t="s">
        <v>27</v>
      </c>
      <c r="F444" s="3" t="n">
        <v>1</v>
      </c>
      <c r="G444" s="4" t="n">
        <v>28000</v>
      </c>
      <c r="H444" s="4" t="n">
        <f aca="false">F444*G444</f>
        <v>28000</v>
      </c>
    </row>
    <row r="445" customFormat="false" ht="15" hidden="false" customHeight="false" outlineLevel="0" collapsed="false">
      <c r="A445" s="3" t="s">
        <v>550</v>
      </c>
      <c r="B445" s="3" t="s">
        <v>545</v>
      </c>
      <c r="C445" s="3" t="s">
        <v>10</v>
      </c>
      <c r="D445" s="3" t="s">
        <v>26</v>
      </c>
      <c r="E445" s="3" t="s">
        <v>27</v>
      </c>
      <c r="F445" s="3" t="n">
        <v>5</v>
      </c>
      <c r="G445" s="4" t="n">
        <v>2500</v>
      </c>
      <c r="H445" s="4" t="n">
        <f aca="false">F445*G445</f>
        <v>12500</v>
      </c>
    </row>
    <row r="446" customFormat="false" ht="15" hidden="false" customHeight="false" outlineLevel="0" collapsed="false">
      <c r="A446" s="3" t="s">
        <v>551</v>
      </c>
      <c r="B446" s="3" t="s">
        <v>552</v>
      </c>
      <c r="C446" s="3" t="s">
        <v>12</v>
      </c>
      <c r="D446" s="3" t="s">
        <v>23</v>
      </c>
      <c r="E446" s="3" t="s">
        <v>27</v>
      </c>
      <c r="F446" s="3" t="n">
        <v>3</v>
      </c>
      <c r="G446" s="4" t="n">
        <v>6500</v>
      </c>
      <c r="H446" s="4" t="n">
        <f aca="false">F446*G446</f>
        <v>19500</v>
      </c>
    </row>
    <row r="447" customFormat="false" ht="15" hidden="false" customHeight="false" outlineLevel="0" collapsed="false">
      <c r="A447" s="3" t="s">
        <v>553</v>
      </c>
      <c r="B447" s="3" t="s">
        <v>552</v>
      </c>
      <c r="C447" s="3" t="s">
        <v>6</v>
      </c>
      <c r="D447" s="3" t="s">
        <v>40</v>
      </c>
      <c r="E447" s="3" t="s">
        <v>27</v>
      </c>
      <c r="F447" s="3" t="n">
        <v>2</v>
      </c>
      <c r="G447" s="4" t="n">
        <v>28000</v>
      </c>
      <c r="H447" s="4" t="n">
        <f aca="false">F447*G447</f>
        <v>56000</v>
      </c>
    </row>
    <row r="448" customFormat="false" ht="15" hidden="false" customHeight="false" outlineLevel="0" collapsed="false">
      <c r="A448" s="3" t="s">
        <v>554</v>
      </c>
      <c r="B448" s="3" t="s">
        <v>552</v>
      </c>
      <c r="C448" s="3" t="s">
        <v>11</v>
      </c>
      <c r="D448" s="3" t="s">
        <v>34</v>
      </c>
      <c r="E448" s="3" t="s">
        <v>27</v>
      </c>
      <c r="F448" s="3" t="n">
        <v>2</v>
      </c>
      <c r="G448" s="4" t="n">
        <v>18500</v>
      </c>
      <c r="H448" s="4" t="n">
        <f aca="false">F448*G448</f>
        <v>37000</v>
      </c>
    </row>
    <row r="449" customFormat="false" ht="15" hidden="false" customHeight="false" outlineLevel="0" collapsed="false">
      <c r="A449" s="3" t="s">
        <v>555</v>
      </c>
      <c r="B449" s="3" t="s">
        <v>552</v>
      </c>
      <c r="C449" s="3" t="s">
        <v>6</v>
      </c>
      <c r="D449" s="3" t="s">
        <v>26</v>
      </c>
      <c r="E449" s="3" t="s">
        <v>24</v>
      </c>
      <c r="F449" s="3" t="n">
        <v>3</v>
      </c>
      <c r="G449" s="4" t="n">
        <v>2500</v>
      </c>
      <c r="H449" s="4" t="n">
        <f aca="false">F449*G449</f>
        <v>7500</v>
      </c>
    </row>
    <row r="450" customFormat="false" ht="15" hidden="false" customHeight="false" outlineLevel="0" collapsed="false">
      <c r="A450" s="3" t="s">
        <v>556</v>
      </c>
      <c r="B450" s="3" t="s">
        <v>552</v>
      </c>
      <c r="C450" s="3" t="s">
        <v>10</v>
      </c>
      <c r="D450" s="3" t="s">
        <v>40</v>
      </c>
      <c r="E450" s="3" t="s">
        <v>27</v>
      </c>
      <c r="F450" s="3" t="n">
        <v>1</v>
      </c>
      <c r="G450" s="4" t="n">
        <v>28000</v>
      </c>
      <c r="H450" s="4" t="n">
        <f aca="false">F450*G450</f>
        <v>28000</v>
      </c>
    </row>
    <row r="451" customFormat="false" ht="15" hidden="false" customHeight="false" outlineLevel="0" collapsed="false">
      <c r="A451" s="3" t="s">
        <v>557</v>
      </c>
      <c r="B451" s="3" t="s">
        <v>552</v>
      </c>
      <c r="C451" s="3" t="s">
        <v>11</v>
      </c>
      <c r="D451" s="3" t="s">
        <v>40</v>
      </c>
      <c r="E451" s="3" t="s">
        <v>24</v>
      </c>
      <c r="F451" s="3" t="n">
        <v>2</v>
      </c>
      <c r="G451" s="4" t="n">
        <v>28000</v>
      </c>
      <c r="H451" s="4" t="n">
        <f aca="false">F451*G451</f>
        <v>56000</v>
      </c>
    </row>
    <row r="452" customFormat="false" ht="15" hidden="false" customHeight="false" outlineLevel="0" collapsed="false">
      <c r="A452" s="3" t="s">
        <v>558</v>
      </c>
      <c r="B452" s="3" t="s">
        <v>559</v>
      </c>
      <c r="C452" s="3" t="s">
        <v>6</v>
      </c>
      <c r="D452" s="3" t="s">
        <v>23</v>
      </c>
      <c r="E452" s="3" t="s">
        <v>24</v>
      </c>
      <c r="F452" s="3" t="n">
        <v>4</v>
      </c>
      <c r="G452" s="4" t="n">
        <v>6500</v>
      </c>
      <c r="H452" s="4" t="n">
        <f aca="false">F452*G452</f>
        <v>26000</v>
      </c>
    </row>
    <row r="453" customFormat="false" ht="15" hidden="false" customHeight="false" outlineLevel="0" collapsed="false">
      <c r="A453" s="3" t="s">
        <v>560</v>
      </c>
      <c r="B453" s="3" t="s">
        <v>559</v>
      </c>
      <c r="C453" s="3" t="s">
        <v>6</v>
      </c>
      <c r="D453" s="3" t="s">
        <v>34</v>
      </c>
      <c r="E453" s="3" t="s">
        <v>24</v>
      </c>
      <c r="F453" s="3" t="n">
        <v>1</v>
      </c>
      <c r="G453" s="4" t="n">
        <v>18500</v>
      </c>
      <c r="H453" s="4" t="n">
        <f aca="false">F453*G453</f>
        <v>18500</v>
      </c>
    </row>
    <row r="454" customFormat="false" ht="15" hidden="false" customHeight="false" outlineLevel="0" collapsed="false">
      <c r="A454" s="3" t="s">
        <v>561</v>
      </c>
      <c r="B454" s="3" t="s">
        <v>559</v>
      </c>
      <c r="C454" s="3" t="s">
        <v>12</v>
      </c>
      <c r="D454" s="3" t="s">
        <v>23</v>
      </c>
      <c r="E454" s="3" t="s">
        <v>27</v>
      </c>
      <c r="F454" s="3" t="n">
        <v>5</v>
      </c>
      <c r="G454" s="4" t="n">
        <v>6500</v>
      </c>
      <c r="H454" s="4" t="n">
        <f aca="false">F454*G454</f>
        <v>32500</v>
      </c>
    </row>
    <row r="455" customFormat="false" ht="15" hidden="false" customHeight="false" outlineLevel="0" collapsed="false">
      <c r="A455" s="3" t="s">
        <v>562</v>
      </c>
      <c r="B455" s="3" t="s">
        <v>559</v>
      </c>
      <c r="C455" s="3" t="s">
        <v>6</v>
      </c>
      <c r="D455" s="3" t="s">
        <v>34</v>
      </c>
      <c r="E455" s="3" t="s">
        <v>27</v>
      </c>
      <c r="F455" s="3" t="n">
        <v>2</v>
      </c>
      <c r="G455" s="4" t="n">
        <v>18500</v>
      </c>
      <c r="H455" s="4" t="n">
        <f aca="false">F455*G455</f>
        <v>37000</v>
      </c>
    </row>
    <row r="456" customFormat="false" ht="15" hidden="false" customHeight="false" outlineLevel="0" collapsed="false">
      <c r="A456" s="3" t="s">
        <v>563</v>
      </c>
      <c r="B456" s="3" t="s">
        <v>559</v>
      </c>
      <c r="C456" s="3" t="s">
        <v>12</v>
      </c>
      <c r="D456" s="3" t="s">
        <v>23</v>
      </c>
      <c r="E456" s="3" t="s">
        <v>27</v>
      </c>
      <c r="F456" s="3" t="n">
        <v>4</v>
      </c>
      <c r="G456" s="4" t="n">
        <v>6500</v>
      </c>
      <c r="H456" s="4" t="n">
        <f aca="false">F456*G456</f>
        <v>26000</v>
      </c>
    </row>
    <row r="457" customFormat="false" ht="15" hidden="false" customHeight="false" outlineLevel="0" collapsed="false">
      <c r="A457" s="3" t="s">
        <v>564</v>
      </c>
      <c r="B457" s="3" t="s">
        <v>559</v>
      </c>
      <c r="C457" s="3" t="s">
        <v>10</v>
      </c>
      <c r="D457" s="3" t="s">
        <v>40</v>
      </c>
      <c r="E457" s="3" t="s">
        <v>27</v>
      </c>
      <c r="F457" s="3" t="n">
        <v>2</v>
      </c>
      <c r="G457" s="4" t="n">
        <v>28000</v>
      </c>
      <c r="H457" s="4" t="n">
        <f aca="false">F457*G457</f>
        <v>56000</v>
      </c>
    </row>
    <row r="458" customFormat="false" ht="15" hidden="false" customHeight="false" outlineLevel="0" collapsed="false">
      <c r="A458" s="3" t="s">
        <v>565</v>
      </c>
      <c r="B458" s="3" t="s">
        <v>566</v>
      </c>
      <c r="C458" s="3" t="s">
        <v>11</v>
      </c>
      <c r="D458" s="3" t="s">
        <v>26</v>
      </c>
      <c r="E458" s="3" t="s">
        <v>24</v>
      </c>
      <c r="F458" s="3" t="n">
        <v>1</v>
      </c>
      <c r="G458" s="4" t="n">
        <v>2500</v>
      </c>
      <c r="H458" s="4" t="n">
        <f aca="false">F458*G458</f>
        <v>2500</v>
      </c>
    </row>
    <row r="459" customFormat="false" ht="15" hidden="false" customHeight="false" outlineLevel="0" collapsed="false">
      <c r="A459" s="3" t="s">
        <v>567</v>
      </c>
      <c r="B459" s="3" t="s">
        <v>566</v>
      </c>
      <c r="C459" s="3" t="s">
        <v>8</v>
      </c>
      <c r="D459" s="3" t="s">
        <v>23</v>
      </c>
      <c r="E459" s="3" t="s">
        <v>24</v>
      </c>
      <c r="F459" s="3" t="n">
        <v>1</v>
      </c>
      <c r="G459" s="4" t="n">
        <v>6500</v>
      </c>
      <c r="H459" s="4" t="n">
        <f aca="false">F459*G459</f>
        <v>6500</v>
      </c>
    </row>
    <row r="460" customFormat="false" ht="15" hidden="false" customHeight="false" outlineLevel="0" collapsed="false">
      <c r="A460" s="3" t="s">
        <v>568</v>
      </c>
      <c r="B460" s="3" t="s">
        <v>566</v>
      </c>
      <c r="C460" s="3" t="s">
        <v>12</v>
      </c>
      <c r="D460" s="3" t="s">
        <v>40</v>
      </c>
      <c r="E460" s="3" t="s">
        <v>24</v>
      </c>
      <c r="F460" s="3" t="n">
        <v>2</v>
      </c>
      <c r="G460" s="4" t="n">
        <v>28000</v>
      </c>
      <c r="H460" s="4" t="n">
        <f aca="false">F460*G460</f>
        <v>56000</v>
      </c>
    </row>
    <row r="461" customFormat="false" ht="15" hidden="false" customHeight="false" outlineLevel="0" collapsed="false">
      <c r="A461" s="3" t="s">
        <v>569</v>
      </c>
      <c r="B461" s="3" t="s">
        <v>570</v>
      </c>
      <c r="C461" s="3" t="s">
        <v>12</v>
      </c>
      <c r="D461" s="3" t="s">
        <v>23</v>
      </c>
      <c r="E461" s="3" t="s">
        <v>24</v>
      </c>
      <c r="F461" s="3" t="n">
        <v>1</v>
      </c>
      <c r="G461" s="4" t="n">
        <v>6500</v>
      </c>
      <c r="H461" s="4" t="n">
        <f aca="false">F461*G461</f>
        <v>6500</v>
      </c>
    </row>
    <row r="462" customFormat="false" ht="15" hidden="false" customHeight="false" outlineLevel="0" collapsed="false">
      <c r="A462" s="3" t="s">
        <v>571</v>
      </c>
      <c r="B462" s="3" t="s">
        <v>570</v>
      </c>
      <c r="C462" s="3" t="s">
        <v>8</v>
      </c>
      <c r="D462" s="3" t="s">
        <v>34</v>
      </c>
      <c r="E462" s="3" t="s">
        <v>27</v>
      </c>
      <c r="F462" s="3" t="n">
        <v>1</v>
      </c>
      <c r="G462" s="4" t="n">
        <v>18500</v>
      </c>
      <c r="H462" s="4" t="n">
        <f aca="false">F462*G462</f>
        <v>18500</v>
      </c>
    </row>
    <row r="463" customFormat="false" ht="15" hidden="false" customHeight="false" outlineLevel="0" collapsed="false">
      <c r="A463" s="3" t="s">
        <v>572</v>
      </c>
      <c r="B463" s="3" t="s">
        <v>570</v>
      </c>
      <c r="C463" s="3" t="s">
        <v>6</v>
      </c>
      <c r="D463" s="3" t="s">
        <v>26</v>
      </c>
      <c r="E463" s="3" t="s">
        <v>27</v>
      </c>
      <c r="F463" s="3" t="n">
        <v>4</v>
      </c>
      <c r="G463" s="4" t="n">
        <v>2500</v>
      </c>
      <c r="H463" s="4" t="n">
        <f aca="false">F463*G463</f>
        <v>10000</v>
      </c>
    </row>
    <row r="464" customFormat="false" ht="15" hidden="false" customHeight="false" outlineLevel="0" collapsed="false">
      <c r="A464" s="3" t="s">
        <v>573</v>
      </c>
      <c r="B464" s="3" t="s">
        <v>570</v>
      </c>
      <c r="C464" s="3" t="s">
        <v>8</v>
      </c>
      <c r="D464" s="3" t="s">
        <v>26</v>
      </c>
      <c r="E464" s="3" t="s">
        <v>24</v>
      </c>
      <c r="F464" s="3" t="n">
        <v>2</v>
      </c>
      <c r="G464" s="4" t="n">
        <v>2500</v>
      </c>
      <c r="H464" s="4" t="n">
        <f aca="false">F464*G464</f>
        <v>5000</v>
      </c>
    </row>
    <row r="465" customFormat="false" ht="15" hidden="false" customHeight="false" outlineLevel="0" collapsed="false">
      <c r="A465" s="3" t="s">
        <v>574</v>
      </c>
      <c r="B465" s="3" t="s">
        <v>570</v>
      </c>
      <c r="C465" s="3" t="s">
        <v>8</v>
      </c>
      <c r="D465" s="3" t="s">
        <v>34</v>
      </c>
      <c r="E465" s="3" t="s">
        <v>24</v>
      </c>
      <c r="F465" s="3" t="n">
        <v>1</v>
      </c>
      <c r="G465" s="4" t="n">
        <v>18500</v>
      </c>
      <c r="H465" s="4" t="n">
        <f aca="false">F465*G465</f>
        <v>18500</v>
      </c>
    </row>
    <row r="466" customFormat="false" ht="15" hidden="false" customHeight="false" outlineLevel="0" collapsed="false">
      <c r="A466" s="3" t="s">
        <v>575</v>
      </c>
      <c r="B466" s="3" t="s">
        <v>576</v>
      </c>
      <c r="C466" s="3" t="s">
        <v>11</v>
      </c>
      <c r="D466" s="3" t="s">
        <v>26</v>
      </c>
      <c r="E466" s="3" t="s">
        <v>24</v>
      </c>
      <c r="F466" s="3" t="n">
        <v>2</v>
      </c>
      <c r="G466" s="4" t="n">
        <v>2500</v>
      </c>
      <c r="H466" s="4" t="n">
        <f aca="false">F466*G466</f>
        <v>5000</v>
      </c>
    </row>
    <row r="467" customFormat="false" ht="15" hidden="false" customHeight="false" outlineLevel="0" collapsed="false">
      <c r="A467" s="3" t="s">
        <v>577</v>
      </c>
      <c r="B467" s="3" t="s">
        <v>576</v>
      </c>
      <c r="C467" s="3" t="s">
        <v>12</v>
      </c>
      <c r="D467" s="3" t="s">
        <v>26</v>
      </c>
      <c r="E467" s="3" t="s">
        <v>24</v>
      </c>
      <c r="F467" s="3" t="n">
        <v>3</v>
      </c>
      <c r="G467" s="4" t="n">
        <v>2500</v>
      </c>
      <c r="H467" s="4" t="n">
        <f aca="false">F467*G467</f>
        <v>7500</v>
      </c>
    </row>
    <row r="468" customFormat="false" ht="15" hidden="false" customHeight="false" outlineLevel="0" collapsed="false">
      <c r="A468" s="3" t="s">
        <v>578</v>
      </c>
      <c r="B468" s="3" t="s">
        <v>579</v>
      </c>
      <c r="C468" s="3" t="s">
        <v>8</v>
      </c>
      <c r="D468" s="3" t="s">
        <v>23</v>
      </c>
      <c r="E468" s="3" t="s">
        <v>24</v>
      </c>
      <c r="F468" s="3" t="n">
        <v>2</v>
      </c>
      <c r="G468" s="4" t="n">
        <v>6500</v>
      </c>
      <c r="H468" s="4" t="n">
        <f aca="false">F468*G468</f>
        <v>13000</v>
      </c>
    </row>
    <row r="469" customFormat="false" ht="15" hidden="false" customHeight="false" outlineLevel="0" collapsed="false">
      <c r="A469" s="3" t="s">
        <v>580</v>
      </c>
      <c r="B469" s="3" t="s">
        <v>579</v>
      </c>
      <c r="C469" s="3" t="s">
        <v>11</v>
      </c>
      <c r="D469" s="3" t="s">
        <v>23</v>
      </c>
      <c r="E469" s="3" t="s">
        <v>24</v>
      </c>
      <c r="F469" s="3" t="n">
        <v>5</v>
      </c>
      <c r="G469" s="4" t="n">
        <v>6500</v>
      </c>
      <c r="H469" s="4" t="n">
        <f aca="false">F469*G469</f>
        <v>32500</v>
      </c>
    </row>
    <row r="470" customFormat="false" ht="15" hidden="false" customHeight="false" outlineLevel="0" collapsed="false">
      <c r="A470" s="3" t="s">
        <v>581</v>
      </c>
      <c r="B470" s="3" t="s">
        <v>579</v>
      </c>
      <c r="C470" s="3" t="s">
        <v>8</v>
      </c>
      <c r="D470" s="3" t="s">
        <v>23</v>
      </c>
      <c r="E470" s="3" t="s">
        <v>27</v>
      </c>
      <c r="F470" s="3" t="n">
        <v>2</v>
      </c>
      <c r="G470" s="4" t="n">
        <v>6500</v>
      </c>
      <c r="H470" s="4" t="n">
        <f aca="false">F470*G470</f>
        <v>13000</v>
      </c>
    </row>
    <row r="471" customFormat="false" ht="15" hidden="false" customHeight="false" outlineLevel="0" collapsed="false">
      <c r="A471" s="3" t="s">
        <v>582</v>
      </c>
      <c r="B471" s="3" t="s">
        <v>579</v>
      </c>
      <c r="C471" s="3" t="s">
        <v>11</v>
      </c>
      <c r="D471" s="3" t="s">
        <v>34</v>
      </c>
      <c r="E471" s="3" t="s">
        <v>27</v>
      </c>
      <c r="F471" s="3" t="n">
        <v>1</v>
      </c>
      <c r="G471" s="4" t="n">
        <v>18500</v>
      </c>
      <c r="H471" s="4" t="n">
        <f aca="false">F471*G471</f>
        <v>18500</v>
      </c>
    </row>
    <row r="472" customFormat="false" ht="15" hidden="false" customHeight="false" outlineLevel="0" collapsed="false">
      <c r="A472" s="3" t="s">
        <v>583</v>
      </c>
      <c r="B472" s="3" t="s">
        <v>579</v>
      </c>
      <c r="C472" s="3" t="s">
        <v>10</v>
      </c>
      <c r="D472" s="3" t="s">
        <v>34</v>
      </c>
      <c r="E472" s="3" t="s">
        <v>24</v>
      </c>
      <c r="F472" s="3" t="n">
        <v>1</v>
      </c>
      <c r="G472" s="4" t="n">
        <v>18500</v>
      </c>
      <c r="H472" s="4" t="n">
        <f aca="false">F472*G472</f>
        <v>18500</v>
      </c>
    </row>
    <row r="473" customFormat="false" ht="15" hidden="false" customHeight="false" outlineLevel="0" collapsed="false">
      <c r="A473" s="3" t="s">
        <v>584</v>
      </c>
      <c r="B473" s="3" t="s">
        <v>579</v>
      </c>
      <c r="C473" s="3" t="s">
        <v>12</v>
      </c>
      <c r="D473" s="3" t="s">
        <v>34</v>
      </c>
      <c r="E473" s="3" t="s">
        <v>27</v>
      </c>
      <c r="F473" s="3" t="n">
        <v>1</v>
      </c>
      <c r="G473" s="4" t="n">
        <v>18500</v>
      </c>
      <c r="H473" s="4" t="n">
        <f aca="false">F473*G473</f>
        <v>18500</v>
      </c>
    </row>
    <row r="474" customFormat="false" ht="15" hidden="false" customHeight="false" outlineLevel="0" collapsed="false">
      <c r="A474" s="3" t="s">
        <v>585</v>
      </c>
      <c r="B474" s="3" t="s">
        <v>579</v>
      </c>
      <c r="C474" s="3" t="s">
        <v>6</v>
      </c>
      <c r="D474" s="3" t="s">
        <v>40</v>
      </c>
      <c r="E474" s="3" t="s">
        <v>24</v>
      </c>
      <c r="F474" s="3" t="n">
        <v>2</v>
      </c>
      <c r="G474" s="4" t="n">
        <v>28000</v>
      </c>
      <c r="H474" s="4" t="n">
        <f aca="false">F474*G474</f>
        <v>56000</v>
      </c>
    </row>
    <row r="475" customFormat="false" ht="15" hidden="false" customHeight="false" outlineLevel="0" collapsed="false">
      <c r="A475" s="3" t="s">
        <v>586</v>
      </c>
      <c r="B475" s="3" t="s">
        <v>587</v>
      </c>
      <c r="C475" s="3" t="s">
        <v>10</v>
      </c>
      <c r="D475" s="3" t="s">
        <v>40</v>
      </c>
      <c r="E475" s="3" t="s">
        <v>27</v>
      </c>
      <c r="F475" s="3" t="n">
        <v>2</v>
      </c>
      <c r="G475" s="4" t="n">
        <v>28000</v>
      </c>
      <c r="H475" s="4" t="n">
        <f aca="false">F475*G475</f>
        <v>56000</v>
      </c>
    </row>
    <row r="476" customFormat="false" ht="15" hidden="false" customHeight="false" outlineLevel="0" collapsed="false">
      <c r="A476" s="3" t="s">
        <v>588</v>
      </c>
      <c r="B476" s="3" t="s">
        <v>587</v>
      </c>
      <c r="C476" s="3" t="s">
        <v>6</v>
      </c>
      <c r="D476" s="3" t="s">
        <v>34</v>
      </c>
      <c r="E476" s="3" t="s">
        <v>24</v>
      </c>
      <c r="F476" s="3" t="n">
        <v>2</v>
      </c>
      <c r="G476" s="4" t="n">
        <v>18500</v>
      </c>
      <c r="H476" s="4" t="n">
        <f aca="false">F476*G476</f>
        <v>37000</v>
      </c>
    </row>
    <row r="477" customFormat="false" ht="15" hidden="false" customHeight="false" outlineLevel="0" collapsed="false">
      <c r="A477" s="3" t="s">
        <v>589</v>
      </c>
      <c r="B477" s="3" t="s">
        <v>587</v>
      </c>
      <c r="C477" s="3" t="s">
        <v>8</v>
      </c>
      <c r="D477" s="3" t="s">
        <v>40</v>
      </c>
      <c r="E477" s="3" t="s">
        <v>27</v>
      </c>
      <c r="F477" s="3" t="n">
        <v>1</v>
      </c>
      <c r="G477" s="4" t="n">
        <v>28000</v>
      </c>
      <c r="H477" s="4" t="n">
        <f aca="false">F477*G477</f>
        <v>28000</v>
      </c>
    </row>
    <row r="478" customFormat="false" ht="15" hidden="false" customHeight="false" outlineLevel="0" collapsed="false">
      <c r="A478" s="3" t="s">
        <v>590</v>
      </c>
      <c r="B478" s="3" t="s">
        <v>587</v>
      </c>
      <c r="C478" s="3" t="s">
        <v>12</v>
      </c>
      <c r="D478" s="3" t="s">
        <v>34</v>
      </c>
      <c r="E478" s="3" t="s">
        <v>24</v>
      </c>
      <c r="F478" s="3" t="n">
        <v>1</v>
      </c>
      <c r="G478" s="4" t="n">
        <v>18500</v>
      </c>
      <c r="H478" s="4" t="n">
        <f aca="false">F478*G478</f>
        <v>18500</v>
      </c>
    </row>
    <row r="479" customFormat="false" ht="15" hidden="false" customHeight="false" outlineLevel="0" collapsed="false">
      <c r="A479" s="3" t="s">
        <v>591</v>
      </c>
      <c r="B479" s="3" t="s">
        <v>587</v>
      </c>
      <c r="C479" s="3" t="s">
        <v>6</v>
      </c>
      <c r="D479" s="3" t="s">
        <v>40</v>
      </c>
      <c r="E479" s="3" t="s">
        <v>27</v>
      </c>
      <c r="F479" s="3" t="n">
        <v>2</v>
      </c>
      <c r="G479" s="4" t="n">
        <v>28000</v>
      </c>
      <c r="H479" s="4" t="n">
        <f aca="false">F479*G479</f>
        <v>56000</v>
      </c>
    </row>
    <row r="480" customFormat="false" ht="15" hidden="false" customHeight="false" outlineLevel="0" collapsed="false">
      <c r="A480" s="3" t="s">
        <v>592</v>
      </c>
      <c r="B480" s="3" t="s">
        <v>587</v>
      </c>
      <c r="C480" s="3" t="s">
        <v>11</v>
      </c>
      <c r="D480" s="3" t="s">
        <v>40</v>
      </c>
      <c r="E480" s="3" t="s">
        <v>27</v>
      </c>
      <c r="F480" s="3" t="n">
        <v>1</v>
      </c>
      <c r="G480" s="4" t="n">
        <v>28000</v>
      </c>
      <c r="H480" s="4" t="n">
        <f aca="false">F480*G480</f>
        <v>28000</v>
      </c>
    </row>
    <row r="481" customFormat="false" ht="15" hidden="false" customHeight="false" outlineLevel="0" collapsed="false">
      <c r="A481" s="3" t="s">
        <v>593</v>
      </c>
      <c r="B481" s="3" t="s">
        <v>587</v>
      </c>
      <c r="C481" s="3" t="s">
        <v>10</v>
      </c>
      <c r="D481" s="3" t="s">
        <v>34</v>
      </c>
      <c r="E481" s="3" t="s">
        <v>27</v>
      </c>
      <c r="F481" s="3" t="n">
        <v>1</v>
      </c>
      <c r="G481" s="4" t="n">
        <v>18500</v>
      </c>
      <c r="H481" s="4" t="n">
        <f aca="false">F481*G481</f>
        <v>18500</v>
      </c>
    </row>
    <row r="482" customFormat="false" ht="15" hidden="false" customHeight="false" outlineLevel="0" collapsed="false">
      <c r="A482" s="3" t="s">
        <v>594</v>
      </c>
      <c r="B482" s="3" t="s">
        <v>587</v>
      </c>
      <c r="C482" s="3" t="s">
        <v>12</v>
      </c>
      <c r="D482" s="3" t="s">
        <v>23</v>
      </c>
      <c r="E482" s="3" t="s">
        <v>24</v>
      </c>
      <c r="F482" s="3" t="n">
        <v>3</v>
      </c>
      <c r="G482" s="4" t="n">
        <v>6500</v>
      </c>
      <c r="H482" s="4" t="n">
        <f aca="false">F482*G482</f>
        <v>19500</v>
      </c>
    </row>
    <row r="483" customFormat="false" ht="15" hidden="false" customHeight="false" outlineLevel="0" collapsed="false">
      <c r="A483" s="3" t="s">
        <v>595</v>
      </c>
      <c r="B483" s="3" t="s">
        <v>587</v>
      </c>
      <c r="C483" s="3" t="s">
        <v>11</v>
      </c>
      <c r="D483" s="3" t="s">
        <v>23</v>
      </c>
      <c r="E483" s="3" t="s">
        <v>27</v>
      </c>
      <c r="F483" s="3" t="n">
        <v>3</v>
      </c>
      <c r="G483" s="4" t="n">
        <v>6500</v>
      </c>
      <c r="H483" s="4" t="n">
        <f aca="false">F483*G483</f>
        <v>19500</v>
      </c>
    </row>
    <row r="484" customFormat="false" ht="15" hidden="false" customHeight="false" outlineLevel="0" collapsed="false">
      <c r="A484" s="3" t="s">
        <v>596</v>
      </c>
      <c r="B484" s="3" t="s">
        <v>597</v>
      </c>
      <c r="C484" s="3" t="s">
        <v>11</v>
      </c>
      <c r="D484" s="3" t="s">
        <v>31</v>
      </c>
      <c r="E484" s="3" t="s">
        <v>27</v>
      </c>
      <c r="F484" s="3" t="n">
        <v>2</v>
      </c>
      <c r="G484" s="4" t="n">
        <v>62000</v>
      </c>
      <c r="H484" s="4" t="n">
        <f aca="false">F484*G484</f>
        <v>124000</v>
      </c>
    </row>
    <row r="485" customFormat="false" ht="15" hidden="false" customHeight="false" outlineLevel="0" collapsed="false">
      <c r="A485" s="3" t="s">
        <v>598</v>
      </c>
      <c r="B485" s="3" t="s">
        <v>597</v>
      </c>
      <c r="C485" s="3" t="s">
        <v>10</v>
      </c>
      <c r="D485" s="3" t="s">
        <v>26</v>
      </c>
      <c r="E485" s="3" t="s">
        <v>24</v>
      </c>
      <c r="F485" s="3" t="n">
        <v>3</v>
      </c>
      <c r="G485" s="4" t="n">
        <v>2500</v>
      </c>
      <c r="H485" s="4" t="n">
        <f aca="false">F485*G485</f>
        <v>7500</v>
      </c>
    </row>
    <row r="486" customFormat="false" ht="15" hidden="false" customHeight="false" outlineLevel="0" collapsed="false">
      <c r="A486" s="3" t="s">
        <v>599</v>
      </c>
      <c r="B486" s="3" t="s">
        <v>597</v>
      </c>
      <c r="C486" s="3" t="s">
        <v>6</v>
      </c>
      <c r="D486" s="3" t="s">
        <v>34</v>
      </c>
      <c r="E486" s="3" t="s">
        <v>27</v>
      </c>
      <c r="F486" s="3" t="n">
        <v>2</v>
      </c>
      <c r="G486" s="4" t="n">
        <v>18500</v>
      </c>
      <c r="H486" s="4" t="n">
        <f aca="false">F486*G486</f>
        <v>37000</v>
      </c>
    </row>
    <row r="487" customFormat="false" ht="15" hidden="false" customHeight="false" outlineLevel="0" collapsed="false">
      <c r="A487" s="3" t="s">
        <v>600</v>
      </c>
      <c r="B487" s="3" t="s">
        <v>597</v>
      </c>
      <c r="C487" s="3" t="s">
        <v>6</v>
      </c>
      <c r="D487" s="3" t="s">
        <v>26</v>
      </c>
      <c r="E487" s="3" t="s">
        <v>27</v>
      </c>
      <c r="F487" s="3" t="n">
        <v>5</v>
      </c>
      <c r="G487" s="4" t="n">
        <v>2500</v>
      </c>
      <c r="H487" s="4" t="n">
        <f aca="false">F487*G487</f>
        <v>12500</v>
      </c>
    </row>
    <row r="488" customFormat="false" ht="15" hidden="false" customHeight="false" outlineLevel="0" collapsed="false">
      <c r="A488" s="3" t="s">
        <v>601</v>
      </c>
      <c r="B488" s="3" t="s">
        <v>597</v>
      </c>
      <c r="C488" s="3" t="s">
        <v>8</v>
      </c>
      <c r="D488" s="3" t="s">
        <v>23</v>
      </c>
      <c r="E488" s="3" t="s">
        <v>24</v>
      </c>
      <c r="F488" s="3" t="n">
        <v>3</v>
      </c>
      <c r="G488" s="4" t="n">
        <v>6500</v>
      </c>
      <c r="H488" s="4" t="n">
        <f aca="false">F488*G488</f>
        <v>19500</v>
      </c>
    </row>
    <row r="489" customFormat="false" ht="15" hidden="false" customHeight="false" outlineLevel="0" collapsed="false">
      <c r="A489" s="3" t="s">
        <v>602</v>
      </c>
      <c r="B489" s="3" t="s">
        <v>597</v>
      </c>
      <c r="C489" s="3" t="s">
        <v>6</v>
      </c>
      <c r="D489" s="3" t="s">
        <v>23</v>
      </c>
      <c r="E489" s="3" t="s">
        <v>27</v>
      </c>
      <c r="F489" s="3" t="n">
        <v>5</v>
      </c>
      <c r="G489" s="4" t="n">
        <v>6500</v>
      </c>
      <c r="H489" s="4" t="n">
        <f aca="false">F489*G489</f>
        <v>32500</v>
      </c>
    </row>
    <row r="490" customFormat="false" ht="15" hidden="false" customHeight="false" outlineLevel="0" collapsed="false">
      <c r="A490" s="3" t="s">
        <v>603</v>
      </c>
      <c r="B490" s="3" t="s">
        <v>597</v>
      </c>
      <c r="C490" s="3" t="s">
        <v>10</v>
      </c>
      <c r="D490" s="3" t="s">
        <v>34</v>
      </c>
      <c r="E490" s="3" t="s">
        <v>24</v>
      </c>
      <c r="F490" s="3" t="n">
        <v>1</v>
      </c>
      <c r="G490" s="4" t="n">
        <v>18500</v>
      </c>
      <c r="H490" s="4" t="n">
        <f aca="false">F490*G490</f>
        <v>18500</v>
      </c>
    </row>
    <row r="491" customFormat="false" ht="15" hidden="false" customHeight="false" outlineLevel="0" collapsed="false">
      <c r="A491" s="3" t="s">
        <v>604</v>
      </c>
      <c r="B491" s="3" t="s">
        <v>597</v>
      </c>
      <c r="C491" s="3" t="s">
        <v>8</v>
      </c>
      <c r="D491" s="3" t="s">
        <v>40</v>
      </c>
      <c r="E491" s="3" t="s">
        <v>24</v>
      </c>
      <c r="F491" s="3" t="n">
        <v>2</v>
      </c>
      <c r="G491" s="4" t="n">
        <v>28000</v>
      </c>
      <c r="H491" s="4" t="n">
        <f aca="false">F491*G491</f>
        <v>56000</v>
      </c>
    </row>
    <row r="492" customFormat="false" ht="15" hidden="false" customHeight="false" outlineLevel="0" collapsed="false">
      <c r="A492" s="3" t="s">
        <v>605</v>
      </c>
      <c r="B492" s="3" t="s">
        <v>597</v>
      </c>
      <c r="C492" s="3" t="s">
        <v>6</v>
      </c>
      <c r="D492" s="3" t="s">
        <v>26</v>
      </c>
      <c r="E492" s="3" t="s">
        <v>27</v>
      </c>
      <c r="F492" s="3" t="n">
        <v>1</v>
      </c>
      <c r="G492" s="4" t="n">
        <v>2500</v>
      </c>
      <c r="H492" s="4" t="n">
        <f aca="false">F492*G492</f>
        <v>2500</v>
      </c>
    </row>
    <row r="493" customFormat="false" ht="15" hidden="false" customHeight="false" outlineLevel="0" collapsed="false">
      <c r="A493" s="3" t="s">
        <v>606</v>
      </c>
      <c r="B493" s="3" t="s">
        <v>597</v>
      </c>
      <c r="C493" s="3" t="s">
        <v>11</v>
      </c>
      <c r="D493" s="3" t="s">
        <v>34</v>
      </c>
      <c r="E493" s="3" t="s">
        <v>24</v>
      </c>
      <c r="F493" s="3" t="n">
        <v>1</v>
      </c>
      <c r="G493" s="4" t="n">
        <v>18500</v>
      </c>
      <c r="H493" s="4" t="n">
        <f aca="false">F493*G493</f>
        <v>18500</v>
      </c>
    </row>
    <row r="494" customFormat="false" ht="15" hidden="false" customHeight="false" outlineLevel="0" collapsed="false">
      <c r="A494" s="3" t="s">
        <v>607</v>
      </c>
      <c r="B494" s="3" t="s">
        <v>608</v>
      </c>
      <c r="C494" s="3" t="s">
        <v>8</v>
      </c>
      <c r="D494" s="3" t="s">
        <v>23</v>
      </c>
      <c r="E494" s="3" t="s">
        <v>27</v>
      </c>
      <c r="F494" s="3" t="n">
        <v>2</v>
      </c>
      <c r="G494" s="4" t="n">
        <v>6500</v>
      </c>
      <c r="H494" s="4" t="n">
        <f aca="false">F494*G494</f>
        <v>13000</v>
      </c>
    </row>
    <row r="495" customFormat="false" ht="15" hidden="false" customHeight="false" outlineLevel="0" collapsed="false">
      <c r="A495" s="3" t="s">
        <v>609</v>
      </c>
      <c r="B495" s="3" t="s">
        <v>608</v>
      </c>
      <c r="C495" s="3" t="s">
        <v>12</v>
      </c>
      <c r="D495" s="3" t="s">
        <v>23</v>
      </c>
      <c r="E495" s="3" t="s">
        <v>24</v>
      </c>
      <c r="F495" s="3" t="n">
        <v>5</v>
      </c>
      <c r="G495" s="4" t="n">
        <v>6500</v>
      </c>
      <c r="H495" s="4" t="n">
        <f aca="false">F495*G495</f>
        <v>32500</v>
      </c>
    </row>
    <row r="496" customFormat="false" ht="15" hidden="false" customHeight="false" outlineLevel="0" collapsed="false">
      <c r="A496" s="3" t="s">
        <v>610</v>
      </c>
      <c r="B496" s="3" t="s">
        <v>608</v>
      </c>
      <c r="C496" s="3" t="s">
        <v>6</v>
      </c>
      <c r="D496" s="3" t="s">
        <v>40</v>
      </c>
      <c r="E496" s="3" t="s">
        <v>24</v>
      </c>
      <c r="F496" s="3" t="n">
        <v>2</v>
      </c>
      <c r="G496" s="4" t="n">
        <v>28000</v>
      </c>
      <c r="H496" s="4" t="n">
        <f aca="false">F496*G496</f>
        <v>56000</v>
      </c>
    </row>
    <row r="497" customFormat="false" ht="15" hidden="false" customHeight="false" outlineLevel="0" collapsed="false">
      <c r="A497" s="3" t="s">
        <v>611</v>
      </c>
      <c r="B497" s="3" t="s">
        <v>608</v>
      </c>
      <c r="C497" s="3" t="s">
        <v>6</v>
      </c>
      <c r="D497" s="3" t="s">
        <v>23</v>
      </c>
      <c r="E497" s="3" t="s">
        <v>24</v>
      </c>
      <c r="F497" s="3" t="n">
        <v>5</v>
      </c>
      <c r="G497" s="4" t="n">
        <v>6500</v>
      </c>
      <c r="H497" s="4" t="n">
        <f aca="false">F497*G497</f>
        <v>32500</v>
      </c>
    </row>
    <row r="498" customFormat="false" ht="15" hidden="false" customHeight="false" outlineLevel="0" collapsed="false">
      <c r="A498" s="3" t="s">
        <v>612</v>
      </c>
      <c r="B498" s="3" t="s">
        <v>613</v>
      </c>
      <c r="C498" s="3" t="s">
        <v>12</v>
      </c>
      <c r="D498" s="3" t="s">
        <v>29</v>
      </c>
      <c r="E498" s="3" t="s">
        <v>24</v>
      </c>
      <c r="F498" s="3" t="n">
        <v>2</v>
      </c>
      <c r="G498" s="4" t="n">
        <v>45000</v>
      </c>
      <c r="H498" s="4" t="n">
        <f aca="false">F498*G498</f>
        <v>90000</v>
      </c>
    </row>
    <row r="499" customFormat="false" ht="15" hidden="false" customHeight="false" outlineLevel="0" collapsed="false">
      <c r="A499" s="3" t="s">
        <v>614</v>
      </c>
      <c r="B499" s="3" t="s">
        <v>613</v>
      </c>
      <c r="C499" s="3" t="s">
        <v>8</v>
      </c>
      <c r="D499" s="3" t="s">
        <v>34</v>
      </c>
      <c r="E499" s="3" t="s">
        <v>24</v>
      </c>
      <c r="F499" s="3" t="n">
        <v>1</v>
      </c>
      <c r="G499" s="4" t="n">
        <v>18500</v>
      </c>
      <c r="H499" s="4" t="n">
        <f aca="false">F499*G499</f>
        <v>18500</v>
      </c>
    </row>
    <row r="500" customFormat="false" ht="15" hidden="false" customHeight="false" outlineLevel="0" collapsed="false">
      <c r="A500" s="3" t="s">
        <v>615</v>
      </c>
      <c r="B500" s="3" t="s">
        <v>613</v>
      </c>
      <c r="C500" s="3" t="s">
        <v>10</v>
      </c>
      <c r="D500" s="3" t="s">
        <v>29</v>
      </c>
      <c r="E500" s="3" t="s">
        <v>24</v>
      </c>
      <c r="F500" s="3" t="n">
        <v>1</v>
      </c>
      <c r="G500" s="4" t="n">
        <v>45000</v>
      </c>
      <c r="H500" s="4" t="n">
        <f aca="false">F500*G500</f>
        <v>45000</v>
      </c>
    </row>
    <row r="501" customFormat="false" ht="15" hidden="false" customHeight="false" outlineLevel="0" collapsed="false">
      <c r="A501" s="3" t="s">
        <v>616</v>
      </c>
      <c r="B501" s="3" t="s">
        <v>613</v>
      </c>
      <c r="C501" s="3" t="s">
        <v>6</v>
      </c>
      <c r="D501" s="3" t="s">
        <v>26</v>
      </c>
      <c r="E501" s="3" t="s">
        <v>24</v>
      </c>
      <c r="F501" s="3" t="n">
        <v>5</v>
      </c>
      <c r="G501" s="4" t="n">
        <v>2500</v>
      </c>
      <c r="H501" s="4" t="n">
        <f aca="false">F501*G501</f>
        <v>12500</v>
      </c>
    </row>
    <row r="502" customFormat="false" ht="15" hidden="false" customHeight="false" outlineLevel="0" collapsed="false">
      <c r="A502" s="3" t="s">
        <v>617</v>
      </c>
      <c r="B502" s="3" t="s">
        <v>618</v>
      </c>
      <c r="C502" s="3" t="s">
        <v>8</v>
      </c>
      <c r="D502" s="3" t="s">
        <v>26</v>
      </c>
      <c r="E502" s="3" t="s">
        <v>24</v>
      </c>
      <c r="F502" s="3" t="n">
        <v>2</v>
      </c>
      <c r="G502" s="4" t="n">
        <v>2500</v>
      </c>
      <c r="H502" s="4" t="n">
        <f aca="false">F502*G502</f>
        <v>5000</v>
      </c>
    </row>
    <row r="503" customFormat="false" ht="15" hidden="false" customHeight="false" outlineLevel="0" collapsed="false">
      <c r="A503" s="3" t="s">
        <v>619</v>
      </c>
      <c r="B503" s="3" t="s">
        <v>618</v>
      </c>
      <c r="C503" s="3" t="s">
        <v>8</v>
      </c>
      <c r="D503" s="3" t="s">
        <v>34</v>
      </c>
      <c r="E503" s="3" t="s">
        <v>24</v>
      </c>
      <c r="F503" s="3" t="n">
        <v>1</v>
      </c>
      <c r="G503" s="4" t="n">
        <v>18500</v>
      </c>
      <c r="H503" s="4" t="n">
        <f aca="false">F503*G503</f>
        <v>18500</v>
      </c>
    </row>
    <row r="504" customFormat="false" ht="15" hidden="false" customHeight="false" outlineLevel="0" collapsed="false">
      <c r="A504" s="3" t="s">
        <v>620</v>
      </c>
      <c r="B504" s="3" t="s">
        <v>618</v>
      </c>
      <c r="C504" s="3" t="s">
        <v>6</v>
      </c>
      <c r="D504" s="3" t="s">
        <v>34</v>
      </c>
      <c r="E504" s="3" t="s">
        <v>24</v>
      </c>
      <c r="F504" s="3" t="n">
        <v>2</v>
      </c>
      <c r="G504" s="4" t="n">
        <v>18500</v>
      </c>
      <c r="H504" s="4" t="n">
        <f aca="false">F504*G504</f>
        <v>37000</v>
      </c>
    </row>
    <row r="505" customFormat="false" ht="15" hidden="false" customHeight="false" outlineLevel="0" collapsed="false">
      <c r="A505" s="3" t="s">
        <v>621</v>
      </c>
      <c r="B505" s="3" t="s">
        <v>618</v>
      </c>
      <c r="C505" s="3" t="s">
        <v>8</v>
      </c>
      <c r="D505" s="3" t="s">
        <v>34</v>
      </c>
      <c r="E505" s="3" t="s">
        <v>24</v>
      </c>
      <c r="F505" s="3" t="n">
        <v>2</v>
      </c>
      <c r="G505" s="4" t="n">
        <v>18500</v>
      </c>
      <c r="H505" s="4" t="n">
        <f aca="false">F505*G505</f>
        <v>37000</v>
      </c>
    </row>
    <row r="506" customFormat="false" ht="15" hidden="false" customHeight="false" outlineLevel="0" collapsed="false">
      <c r="A506" s="3" t="s">
        <v>622</v>
      </c>
      <c r="B506" s="3" t="s">
        <v>618</v>
      </c>
      <c r="C506" s="3" t="s">
        <v>6</v>
      </c>
      <c r="D506" s="3" t="s">
        <v>31</v>
      </c>
      <c r="E506" s="3" t="s">
        <v>27</v>
      </c>
      <c r="F506" s="3" t="n">
        <v>1</v>
      </c>
      <c r="G506" s="4" t="n">
        <v>62000</v>
      </c>
      <c r="H506" s="4" t="n">
        <f aca="false">F506*G506</f>
        <v>62000</v>
      </c>
    </row>
    <row r="507" customFormat="false" ht="15" hidden="false" customHeight="false" outlineLevel="0" collapsed="false">
      <c r="A507" s="3" t="s">
        <v>623</v>
      </c>
      <c r="B507" s="3" t="s">
        <v>624</v>
      </c>
      <c r="C507" s="3" t="s">
        <v>8</v>
      </c>
      <c r="D507" s="3" t="s">
        <v>23</v>
      </c>
      <c r="E507" s="3" t="s">
        <v>27</v>
      </c>
      <c r="F507" s="3" t="n">
        <v>4</v>
      </c>
      <c r="G507" s="4" t="n">
        <v>6500</v>
      </c>
      <c r="H507" s="4" t="n">
        <f aca="false">F507*G507</f>
        <v>26000</v>
      </c>
    </row>
    <row r="508" customFormat="false" ht="15" hidden="false" customHeight="false" outlineLevel="0" collapsed="false">
      <c r="A508" s="3" t="s">
        <v>625</v>
      </c>
      <c r="B508" s="3" t="s">
        <v>624</v>
      </c>
      <c r="C508" s="3" t="s">
        <v>8</v>
      </c>
      <c r="D508" s="3" t="s">
        <v>40</v>
      </c>
      <c r="E508" s="3" t="s">
        <v>27</v>
      </c>
      <c r="F508" s="3" t="n">
        <v>1</v>
      </c>
      <c r="G508" s="4" t="n">
        <v>28000</v>
      </c>
      <c r="H508" s="4" t="n">
        <f aca="false">F508*G508</f>
        <v>28000</v>
      </c>
    </row>
    <row r="509" customFormat="false" ht="15" hidden="false" customHeight="false" outlineLevel="0" collapsed="false">
      <c r="A509" s="3" t="s">
        <v>626</v>
      </c>
      <c r="B509" s="3" t="s">
        <v>624</v>
      </c>
      <c r="C509" s="3" t="s">
        <v>12</v>
      </c>
      <c r="D509" s="3" t="s">
        <v>34</v>
      </c>
      <c r="E509" s="3" t="s">
        <v>24</v>
      </c>
      <c r="F509" s="3" t="n">
        <v>1</v>
      </c>
      <c r="G509" s="4" t="n">
        <v>18500</v>
      </c>
      <c r="H509" s="4" t="n">
        <f aca="false">F509*G509</f>
        <v>18500</v>
      </c>
    </row>
    <row r="510" customFormat="false" ht="15" hidden="false" customHeight="false" outlineLevel="0" collapsed="false">
      <c r="A510" s="3" t="s">
        <v>627</v>
      </c>
      <c r="B510" s="3" t="s">
        <v>624</v>
      </c>
      <c r="C510" s="3" t="s">
        <v>11</v>
      </c>
      <c r="D510" s="3" t="s">
        <v>23</v>
      </c>
      <c r="E510" s="3" t="s">
        <v>24</v>
      </c>
      <c r="F510" s="3" t="n">
        <v>4</v>
      </c>
      <c r="G510" s="4" t="n">
        <v>6500</v>
      </c>
      <c r="H510" s="4" t="n">
        <f aca="false">F510*G510</f>
        <v>26000</v>
      </c>
    </row>
    <row r="511" customFormat="false" ht="15" hidden="false" customHeight="false" outlineLevel="0" collapsed="false">
      <c r="A511" s="3" t="s">
        <v>628</v>
      </c>
      <c r="B511" s="3" t="s">
        <v>624</v>
      </c>
      <c r="C511" s="3" t="s">
        <v>8</v>
      </c>
      <c r="D511" s="3" t="s">
        <v>34</v>
      </c>
      <c r="E511" s="3" t="s">
        <v>27</v>
      </c>
      <c r="F511" s="3" t="n">
        <v>1</v>
      </c>
      <c r="G511" s="4" t="n">
        <v>18500</v>
      </c>
      <c r="H511" s="4" t="n">
        <f aca="false">F511*G511</f>
        <v>18500</v>
      </c>
    </row>
    <row r="512" customFormat="false" ht="15" hidden="false" customHeight="false" outlineLevel="0" collapsed="false">
      <c r="A512" s="3" t="s">
        <v>629</v>
      </c>
      <c r="B512" s="3" t="s">
        <v>624</v>
      </c>
      <c r="C512" s="3" t="s">
        <v>8</v>
      </c>
      <c r="D512" s="3" t="s">
        <v>40</v>
      </c>
      <c r="E512" s="3" t="s">
        <v>24</v>
      </c>
      <c r="F512" s="3" t="n">
        <v>1</v>
      </c>
      <c r="G512" s="4" t="n">
        <v>28000</v>
      </c>
      <c r="H512" s="4" t="n">
        <f aca="false">F512*G512</f>
        <v>28000</v>
      </c>
    </row>
    <row r="513" customFormat="false" ht="15" hidden="false" customHeight="false" outlineLevel="0" collapsed="false">
      <c r="A513" s="3" t="s">
        <v>630</v>
      </c>
      <c r="B513" s="3" t="s">
        <v>624</v>
      </c>
      <c r="C513" s="3" t="s">
        <v>8</v>
      </c>
      <c r="D513" s="3" t="s">
        <v>31</v>
      </c>
      <c r="E513" s="3" t="s">
        <v>27</v>
      </c>
      <c r="F513" s="3" t="n">
        <v>1</v>
      </c>
      <c r="G513" s="4" t="n">
        <v>62000</v>
      </c>
      <c r="H513" s="4" t="n">
        <f aca="false">F513*G513</f>
        <v>62000</v>
      </c>
    </row>
    <row r="514" customFormat="false" ht="15" hidden="false" customHeight="false" outlineLevel="0" collapsed="false">
      <c r="A514" s="3" t="s">
        <v>631</v>
      </c>
      <c r="B514" s="3" t="s">
        <v>624</v>
      </c>
      <c r="C514" s="3" t="s">
        <v>6</v>
      </c>
      <c r="D514" s="3" t="s">
        <v>34</v>
      </c>
      <c r="E514" s="3" t="s">
        <v>24</v>
      </c>
      <c r="F514" s="3" t="n">
        <v>2</v>
      </c>
      <c r="G514" s="4" t="n">
        <v>18500</v>
      </c>
      <c r="H514" s="4" t="n">
        <f aca="false">F514*G514</f>
        <v>37000</v>
      </c>
    </row>
    <row r="515" customFormat="false" ht="15" hidden="false" customHeight="false" outlineLevel="0" collapsed="false">
      <c r="A515" s="3" t="s">
        <v>632</v>
      </c>
      <c r="B515" s="3" t="s">
        <v>624</v>
      </c>
      <c r="C515" s="3" t="s">
        <v>6</v>
      </c>
      <c r="D515" s="3" t="s">
        <v>34</v>
      </c>
      <c r="E515" s="3" t="s">
        <v>24</v>
      </c>
      <c r="F515" s="3" t="n">
        <v>1</v>
      </c>
      <c r="G515" s="4" t="n">
        <v>18500</v>
      </c>
      <c r="H515" s="4" t="n">
        <f aca="false">F515*G515</f>
        <v>18500</v>
      </c>
    </row>
    <row r="516" customFormat="false" ht="15" hidden="false" customHeight="false" outlineLevel="0" collapsed="false">
      <c r="A516" s="3" t="s">
        <v>633</v>
      </c>
      <c r="B516" s="3" t="s">
        <v>634</v>
      </c>
      <c r="C516" s="3" t="s">
        <v>6</v>
      </c>
      <c r="D516" s="3" t="s">
        <v>23</v>
      </c>
      <c r="E516" s="3" t="s">
        <v>24</v>
      </c>
      <c r="F516" s="3" t="n">
        <v>1</v>
      </c>
      <c r="G516" s="4" t="n">
        <v>6500</v>
      </c>
      <c r="H516" s="4" t="n">
        <f aca="false">F516*G516</f>
        <v>6500</v>
      </c>
    </row>
    <row r="517" customFormat="false" ht="15" hidden="false" customHeight="false" outlineLevel="0" collapsed="false">
      <c r="A517" s="3" t="s">
        <v>635</v>
      </c>
      <c r="B517" s="3" t="s">
        <v>634</v>
      </c>
      <c r="C517" s="3" t="s">
        <v>6</v>
      </c>
      <c r="D517" s="3" t="s">
        <v>40</v>
      </c>
      <c r="E517" s="3" t="s">
        <v>24</v>
      </c>
      <c r="F517" s="3" t="n">
        <v>1</v>
      </c>
      <c r="G517" s="4" t="n">
        <v>28000</v>
      </c>
      <c r="H517" s="4" t="n">
        <f aca="false">F517*G517</f>
        <v>28000</v>
      </c>
    </row>
    <row r="518" customFormat="false" ht="15" hidden="false" customHeight="false" outlineLevel="0" collapsed="false">
      <c r="A518" s="3" t="s">
        <v>636</v>
      </c>
      <c r="B518" s="3" t="s">
        <v>634</v>
      </c>
      <c r="C518" s="3" t="s">
        <v>8</v>
      </c>
      <c r="D518" s="3" t="s">
        <v>31</v>
      </c>
      <c r="E518" s="3" t="s">
        <v>24</v>
      </c>
      <c r="F518" s="3" t="n">
        <v>1</v>
      </c>
      <c r="G518" s="4" t="n">
        <v>62000</v>
      </c>
      <c r="H518" s="4" t="n">
        <f aca="false">F518*G518</f>
        <v>62000</v>
      </c>
    </row>
    <row r="519" customFormat="false" ht="15" hidden="false" customHeight="false" outlineLevel="0" collapsed="false">
      <c r="A519" s="3" t="s">
        <v>637</v>
      </c>
      <c r="B519" s="3" t="s">
        <v>634</v>
      </c>
      <c r="C519" s="3" t="s">
        <v>6</v>
      </c>
      <c r="D519" s="3" t="s">
        <v>23</v>
      </c>
      <c r="E519" s="3" t="s">
        <v>27</v>
      </c>
      <c r="F519" s="3" t="n">
        <v>2</v>
      </c>
      <c r="G519" s="4" t="n">
        <v>6500</v>
      </c>
      <c r="H519" s="4" t="n">
        <f aca="false">F519*G519</f>
        <v>13000</v>
      </c>
    </row>
    <row r="520" customFormat="false" ht="15" hidden="false" customHeight="false" outlineLevel="0" collapsed="false">
      <c r="A520" s="3" t="s">
        <v>638</v>
      </c>
      <c r="B520" s="3" t="s">
        <v>634</v>
      </c>
      <c r="C520" s="3" t="s">
        <v>8</v>
      </c>
      <c r="D520" s="3" t="s">
        <v>34</v>
      </c>
      <c r="E520" s="3" t="s">
        <v>27</v>
      </c>
      <c r="F520" s="3" t="n">
        <v>2</v>
      </c>
      <c r="G520" s="4" t="n">
        <v>18500</v>
      </c>
      <c r="H520" s="4" t="n">
        <f aca="false">F520*G520</f>
        <v>37000</v>
      </c>
    </row>
    <row r="521" customFormat="false" ht="15" hidden="false" customHeight="false" outlineLevel="0" collapsed="false">
      <c r="A521" s="3" t="s">
        <v>639</v>
      </c>
      <c r="B521" s="3" t="s">
        <v>640</v>
      </c>
      <c r="C521" s="3" t="s">
        <v>8</v>
      </c>
      <c r="D521" s="3" t="s">
        <v>26</v>
      </c>
      <c r="E521" s="3" t="s">
        <v>24</v>
      </c>
      <c r="F521" s="3" t="n">
        <v>4</v>
      </c>
      <c r="G521" s="4" t="n">
        <v>2500</v>
      </c>
      <c r="H521" s="4" t="n">
        <f aca="false">F521*G521</f>
        <v>10000</v>
      </c>
    </row>
    <row r="522" customFormat="false" ht="15" hidden="false" customHeight="false" outlineLevel="0" collapsed="false">
      <c r="A522" s="3" t="s">
        <v>641</v>
      </c>
      <c r="B522" s="3" t="s">
        <v>640</v>
      </c>
      <c r="C522" s="3" t="s">
        <v>11</v>
      </c>
      <c r="D522" s="3" t="s">
        <v>34</v>
      </c>
      <c r="E522" s="3" t="s">
        <v>24</v>
      </c>
      <c r="F522" s="3" t="n">
        <v>1</v>
      </c>
      <c r="G522" s="4" t="n">
        <v>18500</v>
      </c>
      <c r="H522" s="4" t="n">
        <f aca="false">F522*G522</f>
        <v>18500</v>
      </c>
    </row>
    <row r="523" customFormat="false" ht="15" hidden="false" customHeight="false" outlineLevel="0" collapsed="false">
      <c r="A523" s="3" t="s">
        <v>642</v>
      </c>
      <c r="B523" s="3" t="s">
        <v>643</v>
      </c>
      <c r="C523" s="3" t="s">
        <v>8</v>
      </c>
      <c r="D523" s="3" t="s">
        <v>31</v>
      </c>
      <c r="E523" s="3" t="s">
        <v>24</v>
      </c>
      <c r="F523" s="3" t="n">
        <v>2</v>
      </c>
      <c r="G523" s="4" t="n">
        <v>62000</v>
      </c>
      <c r="H523" s="4" t="n">
        <f aca="false">F523*G523</f>
        <v>124000</v>
      </c>
    </row>
    <row r="524" customFormat="false" ht="15" hidden="false" customHeight="false" outlineLevel="0" collapsed="false">
      <c r="A524" s="3" t="s">
        <v>644</v>
      </c>
      <c r="B524" s="3" t="s">
        <v>643</v>
      </c>
      <c r="C524" s="3" t="s">
        <v>6</v>
      </c>
      <c r="D524" s="3" t="s">
        <v>23</v>
      </c>
      <c r="E524" s="3" t="s">
        <v>24</v>
      </c>
      <c r="F524" s="3" t="n">
        <v>5</v>
      </c>
      <c r="G524" s="4" t="n">
        <v>6500</v>
      </c>
      <c r="H524" s="4" t="n">
        <f aca="false">F524*G524</f>
        <v>32500</v>
      </c>
    </row>
    <row r="525" customFormat="false" ht="15" hidden="false" customHeight="false" outlineLevel="0" collapsed="false">
      <c r="A525" s="3" t="s">
        <v>645</v>
      </c>
      <c r="B525" s="3" t="s">
        <v>643</v>
      </c>
      <c r="C525" s="3" t="s">
        <v>8</v>
      </c>
      <c r="D525" s="3" t="s">
        <v>31</v>
      </c>
      <c r="E525" s="3" t="s">
        <v>24</v>
      </c>
      <c r="F525" s="3" t="n">
        <v>2</v>
      </c>
      <c r="G525" s="4" t="n">
        <v>62000</v>
      </c>
      <c r="H525" s="4" t="n">
        <f aca="false">F525*G525</f>
        <v>124000</v>
      </c>
    </row>
    <row r="526" customFormat="false" ht="15" hidden="false" customHeight="false" outlineLevel="0" collapsed="false">
      <c r="A526" s="3" t="s">
        <v>646</v>
      </c>
      <c r="B526" s="3" t="s">
        <v>643</v>
      </c>
      <c r="C526" s="3" t="s">
        <v>11</v>
      </c>
      <c r="D526" s="3" t="s">
        <v>34</v>
      </c>
      <c r="E526" s="3" t="s">
        <v>24</v>
      </c>
      <c r="F526" s="3" t="n">
        <v>1</v>
      </c>
      <c r="G526" s="4" t="n">
        <v>18500</v>
      </c>
      <c r="H526" s="4" t="n">
        <f aca="false">F526*G526</f>
        <v>18500</v>
      </c>
    </row>
    <row r="527" customFormat="false" ht="15" hidden="false" customHeight="false" outlineLevel="0" collapsed="false">
      <c r="A527" s="3" t="s">
        <v>647</v>
      </c>
      <c r="B527" s="3" t="s">
        <v>648</v>
      </c>
      <c r="C527" s="3" t="s">
        <v>12</v>
      </c>
      <c r="D527" s="3" t="s">
        <v>26</v>
      </c>
      <c r="E527" s="3" t="s">
        <v>24</v>
      </c>
      <c r="F527" s="3" t="n">
        <v>2</v>
      </c>
      <c r="G527" s="4" t="n">
        <v>2500</v>
      </c>
      <c r="H527" s="4" t="n">
        <f aca="false">F527*G527</f>
        <v>5000</v>
      </c>
    </row>
    <row r="528" customFormat="false" ht="15" hidden="false" customHeight="false" outlineLevel="0" collapsed="false">
      <c r="A528" s="3" t="s">
        <v>649</v>
      </c>
      <c r="B528" s="3" t="s">
        <v>648</v>
      </c>
      <c r="C528" s="3" t="s">
        <v>6</v>
      </c>
      <c r="D528" s="3" t="s">
        <v>26</v>
      </c>
      <c r="E528" s="3" t="s">
        <v>24</v>
      </c>
      <c r="F528" s="3" t="n">
        <v>2</v>
      </c>
      <c r="G528" s="4" t="n">
        <v>2500</v>
      </c>
      <c r="H528" s="4" t="n">
        <f aca="false">F528*G528</f>
        <v>5000</v>
      </c>
    </row>
    <row r="529" customFormat="false" ht="15" hidden="false" customHeight="false" outlineLevel="0" collapsed="false">
      <c r="A529" s="3" t="s">
        <v>650</v>
      </c>
      <c r="B529" s="3" t="s">
        <v>648</v>
      </c>
      <c r="C529" s="3" t="s">
        <v>8</v>
      </c>
      <c r="D529" s="3" t="s">
        <v>40</v>
      </c>
      <c r="E529" s="3" t="s">
        <v>24</v>
      </c>
      <c r="F529" s="3" t="n">
        <v>2</v>
      </c>
      <c r="G529" s="4" t="n">
        <v>28000</v>
      </c>
      <c r="H529" s="4" t="n">
        <f aca="false">F529*G529</f>
        <v>56000</v>
      </c>
    </row>
    <row r="530" customFormat="false" ht="15" hidden="false" customHeight="false" outlineLevel="0" collapsed="false">
      <c r="A530" s="3" t="s">
        <v>651</v>
      </c>
      <c r="B530" s="3" t="s">
        <v>648</v>
      </c>
      <c r="C530" s="3" t="s">
        <v>6</v>
      </c>
      <c r="D530" s="3" t="s">
        <v>23</v>
      </c>
      <c r="E530" s="3" t="s">
        <v>24</v>
      </c>
      <c r="F530" s="3" t="n">
        <v>1</v>
      </c>
      <c r="G530" s="4" t="n">
        <v>6500</v>
      </c>
      <c r="H530" s="4" t="n">
        <f aca="false">F530*G530</f>
        <v>6500</v>
      </c>
    </row>
    <row r="531" customFormat="false" ht="15" hidden="false" customHeight="false" outlineLevel="0" collapsed="false">
      <c r="A531" s="3" t="s">
        <v>652</v>
      </c>
      <c r="B531" s="3" t="s">
        <v>648</v>
      </c>
      <c r="C531" s="3" t="s">
        <v>10</v>
      </c>
      <c r="D531" s="3" t="s">
        <v>40</v>
      </c>
      <c r="E531" s="3" t="s">
        <v>27</v>
      </c>
      <c r="F531" s="3" t="n">
        <v>2</v>
      </c>
      <c r="G531" s="4" t="n">
        <v>28000</v>
      </c>
      <c r="H531" s="4" t="n">
        <f aca="false">F531*G531</f>
        <v>56000</v>
      </c>
    </row>
    <row r="532" customFormat="false" ht="15" hidden="false" customHeight="false" outlineLevel="0" collapsed="false">
      <c r="A532" s="3" t="s">
        <v>653</v>
      </c>
      <c r="B532" s="3" t="s">
        <v>648</v>
      </c>
      <c r="C532" s="3" t="s">
        <v>6</v>
      </c>
      <c r="D532" s="3" t="s">
        <v>26</v>
      </c>
      <c r="E532" s="3" t="s">
        <v>24</v>
      </c>
      <c r="F532" s="3" t="n">
        <v>5</v>
      </c>
      <c r="G532" s="4" t="n">
        <v>2500</v>
      </c>
      <c r="H532" s="4" t="n">
        <f aca="false">F532*G532</f>
        <v>12500</v>
      </c>
    </row>
    <row r="533" customFormat="false" ht="15" hidden="false" customHeight="false" outlineLevel="0" collapsed="false">
      <c r="A533" s="3" t="s">
        <v>654</v>
      </c>
      <c r="B533" s="3" t="s">
        <v>648</v>
      </c>
      <c r="C533" s="3" t="s">
        <v>11</v>
      </c>
      <c r="D533" s="3" t="s">
        <v>23</v>
      </c>
      <c r="E533" s="3" t="s">
        <v>27</v>
      </c>
      <c r="F533" s="3" t="n">
        <v>1</v>
      </c>
      <c r="G533" s="4" t="n">
        <v>6500</v>
      </c>
      <c r="H533" s="4" t="n">
        <f aca="false">F533*G533</f>
        <v>6500</v>
      </c>
    </row>
    <row r="534" customFormat="false" ht="15" hidden="false" customHeight="false" outlineLevel="0" collapsed="false">
      <c r="A534" s="3" t="s">
        <v>655</v>
      </c>
      <c r="B534" s="3" t="s">
        <v>656</v>
      </c>
      <c r="C534" s="3" t="s">
        <v>6</v>
      </c>
      <c r="D534" s="3" t="s">
        <v>26</v>
      </c>
      <c r="E534" s="3" t="s">
        <v>27</v>
      </c>
      <c r="F534" s="3" t="n">
        <v>3</v>
      </c>
      <c r="G534" s="4" t="n">
        <v>2500</v>
      </c>
      <c r="H534" s="4" t="n">
        <f aca="false">F534*G534</f>
        <v>7500</v>
      </c>
    </row>
    <row r="535" customFormat="false" ht="15" hidden="false" customHeight="false" outlineLevel="0" collapsed="false">
      <c r="A535" s="3" t="s">
        <v>657</v>
      </c>
      <c r="B535" s="3" t="s">
        <v>656</v>
      </c>
      <c r="C535" s="3" t="s">
        <v>6</v>
      </c>
      <c r="D535" s="3" t="s">
        <v>26</v>
      </c>
      <c r="E535" s="3" t="s">
        <v>24</v>
      </c>
      <c r="F535" s="3" t="n">
        <v>1</v>
      </c>
      <c r="G535" s="4" t="n">
        <v>2500</v>
      </c>
      <c r="H535" s="4" t="n">
        <f aca="false">F535*G535</f>
        <v>2500</v>
      </c>
    </row>
    <row r="536" customFormat="false" ht="15" hidden="false" customHeight="false" outlineLevel="0" collapsed="false">
      <c r="A536" s="3" t="s">
        <v>658</v>
      </c>
      <c r="B536" s="3" t="s">
        <v>656</v>
      </c>
      <c r="C536" s="3" t="s">
        <v>6</v>
      </c>
      <c r="D536" s="3" t="s">
        <v>31</v>
      </c>
      <c r="E536" s="3" t="s">
        <v>24</v>
      </c>
      <c r="F536" s="3" t="n">
        <v>2</v>
      </c>
      <c r="G536" s="4" t="n">
        <v>62000</v>
      </c>
      <c r="H536" s="4" t="n">
        <f aca="false">F536*G536</f>
        <v>124000</v>
      </c>
    </row>
    <row r="537" customFormat="false" ht="15" hidden="false" customHeight="false" outlineLevel="0" collapsed="false">
      <c r="A537" s="3" t="s">
        <v>659</v>
      </c>
      <c r="B537" s="3" t="s">
        <v>656</v>
      </c>
      <c r="C537" s="3" t="s">
        <v>10</v>
      </c>
      <c r="D537" s="3" t="s">
        <v>40</v>
      </c>
      <c r="E537" s="3" t="s">
        <v>24</v>
      </c>
      <c r="F537" s="3" t="n">
        <v>2</v>
      </c>
      <c r="G537" s="4" t="n">
        <v>28000</v>
      </c>
      <c r="H537" s="4" t="n">
        <f aca="false">F537*G537</f>
        <v>56000</v>
      </c>
    </row>
    <row r="538" customFormat="false" ht="15" hidden="false" customHeight="false" outlineLevel="0" collapsed="false">
      <c r="A538" s="3" t="s">
        <v>660</v>
      </c>
      <c r="B538" s="3" t="s">
        <v>661</v>
      </c>
      <c r="C538" s="3" t="s">
        <v>8</v>
      </c>
      <c r="D538" s="3" t="s">
        <v>34</v>
      </c>
      <c r="E538" s="3" t="s">
        <v>24</v>
      </c>
      <c r="F538" s="3" t="n">
        <v>2</v>
      </c>
      <c r="G538" s="4" t="n">
        <v>18500</v>
      </c>
      <c r="H538" s="4" t="n">
        <f aca="false">F538*G538</f>
        <v>37000</v>
      </c>
    </row>
    <row r="539" customFormat="false" ht="15" hidden="false" customHeight="false" outlineLevel="0" collapsed="false">
      <c r="A539" s="3" t="s">
        <v>662</v>
      </c>
      <c r="B539" s="3" t="s">
        <v>661</v>
      </c>
      <c r="C539" s="3" t="s">
        <v>12</v>
      </c>
      <c r="D539" s="3" t="s">
        <v>26</v>
      </c>
      <c r="E539" s="3" t="s">
        <v>24</v>
      </c>
      <c r="F539" s="3" t="n">
        <v>1</v>
      </c>
      <c r="G539" s="4" t="n">
        <v>2500</v>
      </c>
      <c r="H539" s="4" t="n">
        <f aca="false">F539*G539</f>
        <v>2500</v>
      </c>
    </row>
    <row r="540" customFormat="false" ht="15" hidden="false" customHeight="false" outlineLevel="0" collapsed="false">
      <c r="A540" s="3" t="s">
        <v>663</v>
      </c>
      <c r="B540" s="3" t="s">
        <v>661</v>
      </c>
      <c r="C540" s="3" t="s">
        <v>12</v>
      </c>
      <c r="D540" s="3" t="s">
        <v>26</v>
      </c>
      <c r="E540" s="3" t="s">
        <v>24</v>
      </c>
      <c r="F540" s="3" t="n">
        <v>5</v>
      </c>
      <c r="G540" s="4" t="n">
        <v>2500</v>
      </c>
      <c r="H540" s="4" t="n">
        <f aca="false">F540*G540</f>
        <v>12500</v>
      </c>
    </row>
    <row r="541" customFormat="false" ht="15" hidden="false" customHeight="false" outlineLevel="0" collapsed="false">
      <c r="A541" s="3" t="s">
        <v>664</v>
      </c>
      <c r="B541" s="3" t="s">
        <v>661</v>
      </c>
      <c r="C541" s="3" t="s">
        <v>8</v>
      </c>
      <c r="D541" s="3" t="s">
        <v>26</v>
      </c>
      <c r="E541" s="3" t="s">
        <v>24</v>
      </c>
      <c r="F541" s="3" t="n">
        <v>5</v>
      </c>
      <c r="G541" s="4" t="n">
        <v>2500</v>
      </c>
      <c r="H541" s="4" t="n">
        <f aca="false">F541*G541</f>
        <v>12500</v>
      </c>
    </row>
    <row r="542" customFormat="false" ht="15" hidden="false" customHeight="false" outlineLevel="0" collapsed="false">
      <c r="A542" s="3" t="s">
        <v>665</v>
      </c>
      <c r="B542" s="3" t="s">
        <v>661</v>
      </c>
      <c r="C542" s="3" t="s">
        <v>10</v>
      </c>
      <c r="D542" s="3" t="s">
        <v>31</v>
      </c>
      <c r="E542" s="3" t="s">
        <v>24</v>
      </c>
      <c r="F542" s="3" t="n">
        <v>2</v>
      </c>
      <c r="G542" s="4" t="n">
        <v>62000</v>
      </c>
      <c r="H542" s="4" t="n">
        <f aca="false">F542*G542</f>
        <v>124000</v>
      </c>
    </row>
    <row r="543" customFormat="false" ht="15" hidden="false" customHeight="false" outlineLevel="0" collapsed="false">
      <c r="A543" s="3" t="s">
        <v>666</v>
      </c>
      <c r="B543" s="3" t="s">
        <v>661</v>
      </c>
      <c r="C543" s="3" t="s">
        <v>6</v>
      </c>
      <c r="D543" s="3" t="s">
        <v>31</v>
      </c>
      <c r="E543" s="3" t="s">
        <v>27</v>
      </c>
      <c r="F543" s="3" t="n">
        <v>2</v>
      </c>
      <c r="G543" s="4" t="n">
        <v>62000</v>
      </c>
      <c r="H543" s="4" t="n">
        <f aca="false">F543*G543</f>
        <v>124000</v>
      </c>
    </row>
    <row r="544" customFormat="false" ht="15" hidden="false" customHeight="false" outlineLevel="0" collapsed="false">
      <c r="A544" s="3" t="s">
        <v>667</v>
      </c>
      <c r="B544" s="3" t="s">
        <v>661</v>
      </c>
      <c r="C544" s="3" t="s">
        <v>6</v>
      </c>
      <c r="D544" s="3" t="s">
        <v>34</v>
      </c>
      <c r="E544" s="3" t="s">
        <v>27</v>
      </c>
      <c r="F544" s="3" t="n">
        <v>1</v>
      </c>
      <c r="G544" s="4" t="n">
        <v>18500</v>
      </c>
      <c r="H544" s="4" t="n">
        <f aca="false">F544*G544</f>
        <v>18500</v>
      </c>
    </row>
    <row r="545" customFormat="false" ht="15" hidden="false" customHeight="false" outlineLevel="0" collapsed="false">
      <c r="A545" s="3" t="s">
        <v>668</v>
      </c>
      <c r="B545" s="3" t="s">
        <v>669</v>
      </c>
      <c r="C545" s="3" t="s">
        <v>11</v>
      </c>
      <c r="D545" s="3" t="s">
        <v>40</v>
      </c>
      <c r="E545" s="3" t="s">
        <v>24</v>
      </c>
      <c r="F545" s="3" t="n">
        <v>1</v>
      </c>
      <c r="G545" s="4" t="n">
        <v>28000</v>
      </c>
      <c r="H545" s="4" t="n">
        <f aca="false">F545*G545</f>
        <v>28000</v>
      </c>
    </row>
    <row r="546" customFormat="false" ht="15" hidden="false" customHeight="false" outlineLevel="0" collapsed="false">
      <c r="A546" s="3" t="s">
        <v>670</v>
      </c>
      <c r="B546" s="3" t="s">
        <v>669</v>
      </c>
      <c r="C546" s="3" t="s">
        <v>8</v>
      </c>
      <c r="D546" s="3" t="s">
        <v>29</v>
      </c>
      <c r="E546" s="3" t="s">
        <v>27</v>
      </c>
      <c r="F546" s="3" t="n">
        <v>1</v>
      </c>
      <c r="G546" s="4" t="n">
        <v>45000</v>
      </c>
      <c r="H546" s="4" t="n">
        <f aca="false">F546*G546</f>
        <v>45000</v>
      </c>
    </row>
    <row r="547" customFormat="false" ht="15" hidden="false" customHeight="false" outlineLevel="0" collapsed="false">
      <c r="A547" s="3" t="s">
        <v>671</v>
      </c>
      <c r="B547" s="3" t="s">
        <v>669</v>
      </c>
      <c r="C547" s="3" t="s">
        <v>8</v>
      </c>
      <c r="D547" s="3" t="s">
        <v>26</v>
      </c>
      <c r="E547" s="3" t="s">
        <v>27</v>
      </c>
      <c r="F547" s="3" t="n">
        <v>2</v>
      </c>
      <c r="G547" s="4" t="n">
        <v>2500</v>
      </c>
      <c r="H547" s="4" t="n">
        <f aca="false">F547*G547</f>
        <v>5000</v>
      </c>
    </row>
    <row r="548" customFormat="false" ht="15" hidden="false" customHeight="false" outlineLevel="0" collapsed="false">
      <c r="A548" s="3" t="s">
        <v>672</v>
      </c>
      <c r="B548" s="3" t="s">
        <v>669</v>
      </c>
      <c r="C548" s="3" t="s">
        <v>8</v>
      </c>
      <c r="D548" s="3" t="s">
        <v>29</v>
      </c>
      <c r="E548" s="3" t="s">
        <v>24</v>
      </c>
      <c r="F548" s="3" t="n">
        <v>2</v>
      </c>
      <c r="G548" s="4" t="n">
        <v>45000</v>
      </c>
      <c r="H548" s="4" t="n">
        <f aca="false">F548*G548</f>
        <v>90000</v>
      </c>
    </row>
    <row r="549" customFormat="false" ht="15" hidden="false" customHeight="false" outlineLevel="0" collapsed="false">
      <c r="A549" s="3" t="s">
        <v>673</v>
      </c>
      <c r="B549" s="3" t="s">
        <v>669</v>
      </c>
      <c r="C549" s="3" t="s">
        <v>12</v>
      </c>
      <c r="D549" s="3" t="s">
        <v>23</v>
      </c>
      <c r="E549" s="3" t="s">
        <v>27</v>
      </c>
      <c r="F549" s="3" t="n">
        <v>1</v>
      </c>
      <c r="G549" s="4" t="n">
        <v>6500</v>
      </c>
      <c r="H549" s="4" t="n">
        <f aca="false">F549*G549</f>
        <v>6500</v>
      </c>
    </row>
    <row r="550" customFormat="false" ht="15" hidden="false" customHeight="false" outlineLevel="0" collapsed="false">
      <c r="A550" s="3" t="s">
        <v>674</v>
      </c>
      <c r="B550" s="3" t="s">
        <v>669</v>
      </c>
      <c r="C550" s="3" t="s">
        <v>12</v>
      </c>
      <c r="D550" s="3" t="s">
        <v>40</v>
      </c>
      <c r="E550" s="3" t="s">
        <v>24</v>
      </c>
      <c r="F550" s="3" t="n">
        <v>2</v>
      </c>
      <c r="G550" s="4" t="n">
        <v>28000</v>
      </c>
      <c r="H550" s="4" t="n">
        <f aca="false">F550*G550</f>
        <v>56000</v>
      </c>
    </row>
    <row r="551" customFormat="false" ht="15" hidden="false" customHeight="false" outlineLevel="0" collapsed="false">
      <c r="A551" s="3" t="s">
        <v>675</v>
      </c>
      <c r="B551" s="3" t="s">
        <v>676</v>
      </c>
      <c r="C551" s="3" t="s">
        <v>6</v>
      </c>
      <c r="D551" s="3" t="s">
        <v>34</v>
      </c>
      <c r="E551" s="3" t="s">
        <v>24</v>
      </c>
      <c r="F551" s="3" t="n">
        <v>1</v>
      </c>
      <c r="G551" s="4" t="n">
        <v>18500</v>
      </c>
      <c r="H551" s="4" t="n">
        <f aca="false">F551*G551</f>
        <v>18500</v>
      </c>
    </row>
    <row r="552" customFormat="false" ht="15" hidden="false" customHeight="false" outlineLevel="0" collapsed="false">
      <c r="A552" s="3" t="s">
        <v>677</v>
      </c>
      <c r="B552" s="3" t="s">
        <v>676</v>
      </c>
      <c r="C552" s="3" t="s">
        <v>12</v>
      </c>
      <c r="D552" s="3" t="s">
        <v>26</v>
      </c>
      <c r="E552" s="3" t="s">
        <v>24</v>
      </c>
      <c r="F552" s="3" t="n">
        <v>5</v>
      </c>
      <c r="G552" s="4" t="n">
        <v>2500</v>
      </c>
      <c r="H552" s="4" t="n">
        <f aca="false">F552*G552</f>
        <v>12500</v>
      </c>
    </row>
    <row r="553" customFormat="false" ht="15" hidden="false" customHeight="false" outlineLevel="0" collapsed="false">
      <c r="A553" s="3" t="s">
        <v>678</v>
      </c>
      <c r="B553" s="3" t="s">
        <v>679</v>
      </c>
      <c r="C553" s="3" t="s">
        <v>10</v>
      </c>
      <c r="D553" s="3" t="s">
        <v>34</v>
      </c>
      <c r="E553" s="3" t="s">
        <v>27</v>
      </c>
      <c r="F553" s="3" t="n">
        <v>1</v>
      </c>
      <c r="G553" s="4" t="n">
        <v>18500</v>
      </c>
      <c r="H553" s="4" t="n">
        <f aca="false">F553*G553</f>
        <v>18500</v>
      </c>
    </row>
    <row r="554" customFormat="false" ht="15" hidden="false" customHeight="false" outlineLevel="0" collapsed="false">
      <c r="A554" s="3" t="s">
        <v>680</v>
      </c>
      <c r="B554" s="3" t="s">
        <v>679</v>
      </c>
      <c r="C554" s="3" t="s">
        <v>10</v>
      </c>
      <c r="D554" s="3" t="s">
        <v>40</v>
      </c>
      <c r="E554" s="3" t="s">
        <v>27</v>
      </c>
      <c r="F554" s="3" t="n">
        <v>2</v>
      </c>
      <c r="G554" s="4" t="n">
        <v>28000</v>
      </c>
      <c r="H554" s="4" t="n">
        <f aca="false">F554*G554</f>
        <v>56000</v>
      </c>
    </row>
    <row r="555" customFormat="false" ht="15" hidden="false" customHeight="false" outlineLevel="0" collapsed="false">
      <c r="A555" s="3" t="s">
        <v>681</v>
      </c>
      <c r="B555" s="3" t="s">
        <v>679</v>
      </c>
      <c r="C555" s="3" t="s">
        <v>6</v>
      </c>
      <c r="D555" s="3" t="s">
        <v>31</v>
      </c>
      <c r="E555" s="3" t="s">
        <v>24</v>
      </c>
      <c r="F555" s="3" t="n">
        <v>2</v>
      </c>
      <c r="G555" s="4" t="n">
        <v>62000</v>
      </c>
      <c r="H555" s="4" t="n">
        <f aca="false">F555*G555</f>
        <v>124000</v>
      </c>
    </row>
    <row r="556" customFormat="false" ht="15" hidden="false" customHeight="false" outlineLevel="0" collapsed="false">
      <c r="A556" s="3" t="s">
        <v>682</v>
      </c>
      <c r="B556" s="3" t="s">
        <v>679</v>
      </c>
      <c r="C556" s="3" t="s">
        <v>6</v>
      </c>
      <c r="D556" s="3" t="s">
        <v>34</v>
      </c>
      <c r="E556" s="3" t="s">
        <v>27</v>
      </c>
      <c r="F556" s="3" t="n">
        <v>1</v>
      </c>
      <c r="G556" s="4" t="n">
        <v>18500</v>
      </c>
      <c r="H556" s="4" t="n">
        <f aca="false">F556*G556</f>
        <v>18500</v>
      </c>
    </row>
    <row r="557" customFormat="false" ht="15" hidden="false" customHeight="false" outlineLevel="0" collapsed="false">
      <c r="A557" s="3" t="s">
        <v>683</v>
      </c>
      <c r="B557" s="3" t="s">
        <v>679</v>
      </c>
      <c r="C557" s="3" t="s">
        <v>11</v>
      </c>
      <c r="D557" s="3" t="s">
        <v>34</v>
      </c>
      <c r="E557" s="3" t="s">
        <v>24</v>
      </c>
      <c r="F557" s="3" t="n">
        <v>1</v>
      </c>
      <c r="G557" s="4" t="n">
        <v>18500</v>
      </c>
      <c r="H557" s="4" t="n">
        <f aca="false">F557*G557</f>
        <v>18500</v>
      </c>
    </row>
    <row r="558" customFormat="false" ht="15" hidden="false" customHeight="false" outlineLevel="0" collapsed="false">
      <c r="A558" s="3" t="s">
        <v>684</v>
      </c>
      <c r="B558" s="3" t="s">
        <v>679</v>
      </c>
      <c r="C558" s="3" t="s">
        <v>10</v>
      </c>
      <c r="D558" s="3" t="s">
        <v>26</v>
      </c>
      <c r="E558" s="3" t="s">
        <v>24</v>
      </c>
      <c r="F558" s="3" t="n">
        <v>5</v>
      </c>
      <c r="G558" s="4" t="n">
        <v>2500</v>
      </c>
      <c r="H558" s="4" t="n">
        <f aca="false">F558*G558</f>
        <v>12500</v>
      </c>
    </row>
    <row r="559" customFormat="false" ht="15" hidden="false" customHeight="false" outlineLevel="0" collapsed="false">
      <c r="A559" s="3" t="s">
        <v>685</v>
      </c>
      <c r="B559" s="3" t="s">
        <v>686</v>
      </c>
      <c r="C559" s="3" t="s">
        <v>6</v>
      </c>
      <c r="D559" s="3" t="s">
        <v>31</v>
      </c>
      <c r="E559" s="3" t="s">
        <v>27</v>
      </c>
      <c r="F559" s="3" t="n">
        <v>2</v>
      </c>
      <c r="G559" s="4" t="n">
        <v>62000</v>
      </c>
      <c r="H559" s="4" t="n">
        <f aca="false">F559*G559</f>
        <v>124000</v>
      </c>
    </row>
    <row r="560" customFormat="false" ht="15" hidden="false" customHeight="false" outlineLevel="0" collapsed="false">
      <c r="A560" s="3" t="s">
        <v>687</v>
      </c>
      <c r="B560" s="3" t="s">
        <v>686</v>
      </c>
      <c r="C560" s="3" t="s">
        <v>6</v>
      </c>
      <c r="D560" s="3" t="s">
        <v>26</v>
      </c>
      <c r="E560" s="3" t="s">
        <v>24</v>
      </c>
      <c r="F560" s="3" t="n">
        <v>3</v>
      </c>
      <c r="G560" s="4" t="n">
        <v>2500</v>
      </c>
      <c r="H560" s="4" t="n">
        <f aca="false">F560*G560</f>
        <v>7500</v>
      </c>
    </row>
    <row r="561" customFormat="false" ht="15" hidden="false" customHeight="false" outlineLevel="0" collapsed="false">
      <c r="A561" s="3" t="s">
        <v>688</v>
      </c>
      <c r="B561" s="3" t="s">
        <v>686</v>
      </c>
      <c r="C561" s="3" t="s">
        <v>12</v>
      </c>
      <c r="D561" s="3" t="s">
        <v>23</v>
      </c>
      <c r="E561" s="3" t="s">
        <v>24</v>
      </c>
      <c r="F561" s="3" t="n">
        <v>3</v>
      </c>
      <c r="G561" s="4" t="n">
        <v>6500</v>
      </c>
      <c r="H561" s="4" t="n">
        <f aca="false">F561*G561</f>
        <v>19500</v>
      </c>
    </row>
    <row r="562" customFormat="false" ht="15" hidden="false" customHeight="false" outlineLevel="0" collapsed="false">
      <c r="A562" s="3" t="s">
        <v>689</v>
      </c>
      <c r="B562" s="3" t="s">
        <v>686</v>
      </c>
      <c r="C562" s="3" t="s">
        <v>10</v>
      </c>
      <c r="D562" s="3" t="s">
        <v>34</v>
      </c>
      <c r="E562" s="3" t="s">
        <v>24</v>
      </c>
      <c r="F562" s="3" t="n">
        <v>2</v>
      </c>
      <c r="G562" s="4" t="n">
        <v>18500</v>
      </c>
      <c r="H562" s="4" t="n">
        <f aca="false">F562*G562</f>
        <v>37000</v>
      </c>
    </row>
    <row r="563" customFormat="false" ht="15" hidden="false" customHeight="false" outlineLevel="0" collapsed="false">
      <c r="A563" s="3" t="s">
        <v>690</v>
      </c>
      <c r="B563" s="3" t="s">
        <v>686</v>
      </c>
      <c r="C563" s="3" t="s">
        <v>12</v>
      </c>
      <c r="D563" s="3" t="s">
        <v>26</v>
      </c>
      <c r="E563" s="3" t="s">
        <v>24</v>
      </c>
      <c r="F563" s="3" t="n">
        <v>3</v>
      </c>
      <c r="G563" s="4" t="n">
        <v>2500</v>
      </c>
      <c r="H563" s="4" t="n">
        <f aca="false">F563*G563</f>
        <v>7500</v>
      </c>
    </row>
    <row r="564" customFormat="false" ht="15" hidden="false" customHeight="false" outlineLevel="0" collapsed="false">
      <c r="A564" s="3" t="s">
        <v>691</v>
      </c>
      <c r="B564" s="3" t="s">
        <v>686</v>
      </c>
      <c r="C564" s="3" t="s">
        <v>11</v>
      </c>
      <c r="D564" s="3" t="s">
        <v>40</v>
      </c>
      <c r="E564" s="3" t="s">
        <v>24</v>
      </c>
      <c r="F564" s="3" t="n">
        <v>2</v>
      </c>
      <c r="G564" s="4" t="n">
        <v>28000</v>
      </c>
      <c r="H564" s="4" t="n">
        <f aca="false">F564*G564</f>
        <v>56000</v>
      </c>
    </row>
    <row r="565" customFormat="false" ht="15" hidden="false" customHeight="false" outlineLevel="0" collapsed="false">
      <c r="A565" s="3" t="s">
        <v>692</v>
      </c>
      <c r="B565" s="3" t="s">
        <v>686</v>
      </c>
      <c r="C565" s="3" t="s">
        <v>8</v>
      </c>
      <c r="D565" s="3" t="s">
        <v>34</v>
      </c>
      <c r="E565" s="3" t="s">
        <v>24</v>
      </c>
      <c r="F565" s="3" t="n">
        <v>2</v>
      </c>
      <c r="G565" s="4" t="n">
        <v>18500</v>
      </c>
      <c r="H565" s="4" t="n">
        <f aca="false">F565*G565</f>
        <v>37000</v>
      </c>
    </row>
    <row r="566" customFormat="false" ht="15" hidden="false" customHeight="false" outlineLevel="0" collapsed="false">
      <c r="A566" s="3" t="s">
        <v>693</v>
      </c>
      <c r="B566" s="3" t="s">
        <v>694</v>
      </c>
      <c r="C566" s="3" t="s">
        <v>8</v>
      </c>
      <c r="D566" s="3" t="s">
        <v>34</v>
      </c>
      <c r="E566" s="3" t="s">
        <v>24</v>
      </c>
      <c r="F566" s="3" t="n">
        <v>2</v>
      </c>
      <c r="G566" s="4" t="n">
        <v>18500</v>
      </c>
      <c r="H566" s="4" t="n">
        <f aca="false">F566*G566</f>
        <v>37000</v>
      </c>
    </row>
    <row r="567" customFormat="false" ht="15" hidden="false" customHeight="false" outlineLevel="0" collapsed="false">
      <c r="A567" s="3" t="s">
        <v>695</v>
      </c>
      <c r="B567" s="3" t="s">
        <v>694</v>
      </c>
      <c r="C567" s="3" t="s">
        <v>8</v>
      </c>
      <c r="D567" s="3" t="s">
        <v>26</v>
      </c>
      <c r="E567" s="3" t="s">
        <v>24</v>
      </c>
      <c r="F567" s="3" t="n">
        <v>1</v>
      </c>
      <c r="G567" s="4" t="n">
        <v>2500</v>
      </c>
      <c r="H567" s="4" t="n">
        <f aca="false">F567*G567</f>
        <v>2500</v>
      </c>
    </row>
    <row r="568" customFormat="false" ht="15" hidden="false" customHeight="false" outlineLevel="0" collapsed="false">
      <c r="A568" s="3" t="s">
        <v>696</v>
      </c>
      <c r="B568" s="3" t="s">
        <v>694</v>
      </c>
      <c r="C568" s="3" t="s">
        <v>6</v>
      </c>
      <c r="D568" s="3" t="s">
        <v>23</v>
      </c>
      <c r="E568" s="3" t="s">
        <v>27</v>
      </c>
      <c r="F568" s="3" t="n">
        <v>3</v>
      </c>
      <c r="G568" s="4" t="n">
        <v>6500</v>
      </c>
      <c r="H568" s="4" t="n">
        <f aca="false">F568*G568</f>
        <v>19500</v>
      </c>
    </row>
    <row r="569" customFormat="false" ht="15" hidden="false" customHeight="false" outlineLevel="0" collapsed="false">
      <c r="A569" s="3" t="s">
        <v>697</v>
      </c>
      <c r="B569" s="3" t="s">
        <v>694</v>
      </c>
      <c r="C569" s="3" t="s">
        <v>6</v>
      </c>
      <c r="D569" s="3" t="s">
        <v>34</v>
      </c>
      <c r="E569" s="3" t="s">
        <v>24</v>
      </c>
      <c r="F569" s="3" t="n">
        <v>2</v>
      </c>
      <c r="G569" s="4" t="n">
        <v>18500</v>
      </c>
      <c r="H569" s="4" t="n">
        <f aca="false">F569*G569</f>
        <v>37000</v>
      </c>
    </row>
    <row r="570" customFormat="false" ht="15" hidden="false" customHeight="false" outlineLevel="0" collapsed="false">
      <c r="A570" s="3" t="s">
        <v>698</v>
      </c>
      <c r="B570" s="3" t="s">
        <v>694</v>
      </c>
      <c r="C570" s="3" t="s">
        <v>6</v>
      </c>
      <c r="D570" s="3" t="s">
        <v>26</v>
      </c>
      <c r="E570" s="3" t="s">
        <v>24</v>
      </c>
      <c r="F570" s="3" t="n">
        <v>2</v>
      </c>
      <c r="G570" s="4" t="n">
        <v>2500</v>
      </c>
      <c r="H570" s="4" t="n">
        <f aca="false">F570*G570</f>
        <v>5000</v>
      </c>
    </row>
    <row r="571" customFormat="false" ht="15" hidden="false" customHeight="false" outlineLevel="0" collapsed="false">
      <c r="A571" s="3" t="s">
        <v>699</v>
      </c>
      <c r="B571" s="3" t="s">
        <v>694</v>
      </c>
      <c r="C571" s="3" t="s">
        <v>12</v>
      </c>
      <c r="D571" s="3" t="s">
        <v>34</v>
      </c>
      <c r="E571" s="3" t="s">
        <v>24</v>
      </c>
      <c r="F571" s="3" t="n">
        <v>2</v>
      </c>
      <c r="G571" s="4" t="n">
        <v>18500</v>
      </c>
      <c r="H571" s="4" t="n">
        <f aca="false">F571*G571</f>
        <v>37000</v>
      </c>
    </row>
    <row r="572" customFormat="false" ht="15" hidden="false" customHeight="false" outlineLevel="0" collapsed="false">
      <c r="A572" s="3" t="s">
        <v>700</v>
      </c>
      <c r="B572" s="3" t="s">
        <v>694</v>
      </c>
      <c r="C572" s="3" t="s">
        <v>6</v>
      </c>
      <c r="D572" s="3" t="s">
        <v>26</v>
      </c>
      <c r="E572" s="3" t="s">
        <v>27</v>
      </c>
      <c r="F572" s="3" t="n">
        <v>2</v>
      </c>
      <c r="G572" s="4" t="n">
        <v>2500</v>
      </c>
      <c r="H572" s="4" t="n">
        <f aca="false">F572*G572</f>
        <v>5000</v>
      </c>
    </row>
    <row r="573" customFormat="false" ht="15" hidden="false" customHeight="false" outlineLevel="0" collapsed="false">
      <c r="A573" s="3" t="s">
        <v>701</v>
      </c>
      <c r="B573" s="3" t="s">
        <v>694</v>
      </c>
      <c r="C573" s="3" t="s">
        <v>6</v>
      </c>
      <c r="D573" s="3" t="s">
        <v>34</v>
      </c>
      <c r="E573" s="3" t="s">
        <v>27</v>
      </c>
      <c r="F573" s="3" t="n">
        <v>1</v>
      </c>
      <c r="G573" s="4" t="n">
        <v>18500</v>
      </c>
      <c r="H573" s="4" t="n">
        <f aca="false">F573*G573</f>
        <v>18500</v>
      </c>
    </row>
    <row r="574" customFormat="false" ht="15" hidden="false" customHeight="false" outlineLevel="0" collapsed="false">
      <c r="A574" s="3" t="s">
        <v>702</v>
      </c>
      <c r="B574" s="3" t="s">
        <v>703</v>
      </c>
      <c r="C574" s="3" t="s">
        <v>8</v>
      </c>
      <c r="D574" s="3" t="s">
        <v>23</v>
      </c>
      <c r="E574" s="3" t="s">
        <v>24</v>
      </c>
      <c r="F574" s="3" t="n">
        <v>4</v>
      </c>
      <c r="G574" s="4" t="n">
        <v>6500</v>
      </c>
      <c r="H574" s="4" t="n">
        <f aca="false">F574*G574</f>
        <v>26000</v>
      </c>
    </row>
    <row r="575" customFormat="false" ht="15" hidden="false" customHeight="false" outlineLevel="0" collapsed="false">
      <c r="A575" s="3" t="s">
        <v>704</v>
      </c>
      <c r="B575" s="3" t="s">
        <v>703</v>
      </c>
      <c r="C575" s="3" t="s">
        <v>8</v>
      </c>
      <c r="D575" s="3" t="s">
        <v>23</v>
      </c>
      <c r="E575" s="3" t="s">
        <v>27</v>
      </c>
      <c r="F575" s="3" t="n">
        <v>5</v>
      </c>
      <c r="G575" s="4" t="n">
        <v>6500</v>
      </c>
      <c r="H575" s="4" t="n">
        <f aca="false">F575*G575</f>
        <v>32500</v>
      </c>
    </row>
    <row r="576" customFormat="false" ht="15" hidden="false" customHeight="false" outlineLevel="0" collapsed="false">
      <c r="A576" s="3" t="s">
        <v>705</v>
      </c>
      <c r="B576" s="3" t="s">
        <v>703</v>
      </c>
      <c r="C576" s="3" t="s">
        <v>8</v>
      </c>
      <c r="D576" s="3" t="s">
        <v>34</v>
      </c>
      <c r="E576" s="3" t="s">
        <v>24</v>
      </c>
      <c r="F576" s="3" t="n">
        <v>2</v>
      </c>
      <c r="G576" s="4" t="n">
        <v>18500</v>
      </c>
      <c r="H576" s="4" t="n">
        <f aca="false">F576*G576</f>
        <v>37000</v>
      </c>
    </row>
    <row r="577" customFormat="false" ht="15" hidden="false" customHeight="false" outlineLevel="0" collapsed="false">
      <c r="A577" s="3" t="s">
        <v>706</v>
      </c>
      <c r="B577" s="3" t="s">
        <v>703</v>
      </c>
      <c r="C577" s="3" t="s">
        <v>6</v>
      </c>
      <c r="D577" s="3" t="s">
        <v>31</v>
      </c>
      <c r="E577" s="3" t="s">
        <v>27</v>
      </c>
      <c r="F577" s="3" t="n">
        <v>1</v>
      </c>
      <c r="G577" s="4" t="n">
        <v>62000</v>
      </c>
      <c r="H577" s="4" t="n">
        <f aca="false">F577*G577</f>
        <v>62000</v>
      </c>
    </row>
    <row r="578" customFormat="false" ht="15" hidden="false" customHeight="false" outlineLevel="0" collapsed="false">
      <c r="A578" s="3" t="s">
        <v>707</v>
      </c>
      <c r="B578" s="3" t="s">
        <v>703</v>
      </c>
      <c r="C578" s="3" t="s">
        <v>12</v>
      </c>
      <c r="D578" s="3" t="s">
        <v>34</v>
      </c>
      <c r="E578" s="3" t="s">
        <v>27</v>
      </c>
      <c r="F578" s="3" t="n">
        <v>1</v>
      </c>
      <c r="G578" s="4" t="n">
        <v>18500</v>
      </c>
      <c r="H578" s="4" t="n">
        <f aca="false">F578*G578</f>
        <v>18500</v>
      </c>
    </row>
    <row r="579" customFormat="false" ht="15" hidden="false" customHeight="false" outlineLevel="0" collapsed="false">
      <c r="A579" s="3" t="s">
        <v>708</v>
      </c>
      <c r="B579" s="3" t="s">
        <v>703</v>
      </c>
      <c r="C579" s="3" t="s">
        <v>8</v>
      </c>
      <c r="D579" s="3" t="s">
        <v>26</v>
      </c>
      <c r="E579" s="3" t="s">
        <v>24</v>
      </c>
      <c r="F579" s="3" t="n">
        <v>3</v>
      </c>
      <c r="G579" s="4" t="n">
        <v>2500</v>
      </c>
      <c r="H579" s="4" t="n">
        <f aca="false">F579*G579</f>
        <v>7500</v>
      </c>
    </row>
    <row r="580" customFormat="false" ht="15" hidden="false" customHeight="false" outlineLevel="0" collapsed="false">
      <c r="A580" s="3" t="s">
        <v>709</v>
      </c>
      <c r="B580" s="3" t="s">
        <v>703</v>
      </c>
      <c r="C580" s="3" t="s">
        <v>6</v>
      </c>
      <c r="D580" s="3" t="s">
        <v>34</v>
      </c>
      <c r="E580" s="3" t="s">
        <v>24</v>
      </c>
      <c r="F580" s="3" t="n">
        <v>1</v>
      </c>
      <c r="G580" s="4" t="n">
        <v>18500</v>
      </c>
      <c r="H580" s="4" t="n">
        <f aca="false">F580*G580</f>
        <v>18500</v>
      </c>
    </row>
    <row r="581" customFormat="false" ht="15" hidden="false" customHeight="false" outlineLevel="0" collapsed="false">
      <c r="A581" s="3" t="s">
        <v>710</v>
      </c>
      <c r="B581" s="3" t="s">
        <v>711</v>
      </c>
      <c r="C581" s="3" t="s">
        <v>6</v>
      </c>
      <c r="D581" s="3" t="s">
        <v>34</v>
      </c>
      <c r="E581" s="3" t="s">
        <v>27</v>
      </c>
      <c r="F581" s="3" t="n">
        <v>1</v>
      </c>
      <c r="G581" s="4" t="n">
        <v>18500</v>
      </c>
      <c r="H581" s="4" t="n">
        <f aca="false">F581*G581</f>
        <v>18500</v>
      </c>
    </row>
    <row r="582" customFormat="false" ht="15" hidden="false" customHeight="false" outlineLevel="0" collapsed="false">
      <c r="A582" s="3" t="s">
        <v>712</v>
      </c>
      <c r="B582" s="3" t="s">
        <v>711</v>
      </c>
      <c r="C582" s="3" t="s">
        <v>12</v>
      </c>
      <c r="D582" s="3" t="s">
        <v>23</v>
      </c>
      <c r="E582" s="3" t="s">
        <v>24</v>
      </c>
      <c r="F582" s="3" t="n">
        <v>3</v>
      </c>
      <c r="G582" s="4" t="n">
        <v>6500</v>
      </c>
      <c r="H582" s="4" t="n">
        <f aca="false">F582*G582</f>
        <v>19500</v>
      </c>
    </row>
    <row r="583" customFormat="false" ht="15" hidden="false" customHeight="false" outlineLevel="0" collapsed="false">
      <c r="A583" s="3" t="s">
        <v>713</v>
      </c>
      <c r="B583" s="3" t="s">
        <v>711</v>
      </c>
      <c r="C583" s="3" t="s">
        <v>12</v>
      </c>
      <c r="D583" s="3" t="s">
        <v>34</v>
      </c>
      <c r="E583" s="3" t="s">
        <v>27</v>
      </c>
      <c r="F583" s="3" t="n">
        <v>1</v>
      </c>
      <c r="G583" s="4" t="n">
        <v>18500</v>
      </c>
      <c r="H583" s="4" t="n">
        <f aca="false">F583*G583</f>
        <v>18500</v>
      </c>
    </row>
    <row r="584" customFormat="false" ht="15" hidden="false" customHeight="false" outlineLevel="0" collapsed="false">
      <c r="A584" s="3" t="s">
        <v>714</v>
      </c>
      <c r="B584" s="3" t="s">
        <v>711</v>
      </c>
      <c r="C584" s="3" t="s">
        <v>6</v>
      </c>
      <c r="D584" s="3" t="s">
        <v>26</v>
      </c>
      <c r="E584" s="3" t="s">
        <v>24</v>
      </c>
      <c r="F584" s="3" t="n">
        <v>5</v>
      </c>
      <c r="G584" s="4" t="n">
        <v>2500</v>
      </c>
      <c r="H584" s="4" t="n">
        <f aca="false">F584*G584</f>
        <v>12500</v>
      </c>
    </row>
    <row r="585" customFormat="false" ht="15" hidden="false" customHeight="false" outlineLevel="0" collapsed="false">
      <c r="A585" s="3" t="s">
        <v>715</v>
      </c>
      <c r="B585" s="3" t="s">
        <v>716</v>
      </c>
      <c r="C585" s="3" t="s">
        <v>11</v>
      </c>
      <c r="D585" s="3" t="s">
        <v>23</v>
      </c>
      <c r="E585" s="3" t="s">
        <v>24</v>
      </c>
      <c r="F585" s="3" t="n">
        <v>4</v>
      </c>
      <c r="G585" s="4" t="n">
        <v>6500</v>
      </c>
      <c r="H585" s="4" t="n">
        <f aca="false">F585*G585</f>
        <v>26000</v>
      </c>
    </row>
    <row r="586" customFormat="false" ht="15" hidden="false" customHeight="false" outlineLevel="0" collapsed="false">
      <c r="A586" s="3" t="s">
        <v>717</v>
      </c>
      <c r="B586" s="3" t="s">
        <v>716</v>
      </c>
      <c r="C586" s="3" t="s">
        <v>11</v>
      </c>
      <c r="D586" s="3" t="s">
        <v>29</v>
      </c>
      <c r="E586" s="3" t="s">
        <v>24</v>
      </c>
      <c r="F586" s="3" t="n">
        <v>2</v>
      </c>
      <c r="G586" s="4" t="n">
        <v>45000</v>
      </c>
      <c r="H586" s="4" t="n">
        <f aca="false">F586*G586</f>
        <v>90000</v>
      </c>
    </row>
    <row r="587" customFormat="false" ht="15" hidden="false" customHeight="false" outlineLevel="0" collapsed="false">
      <c r="A587" s="3" t="s">
        <v>718</v>
      </c>
      <c r="B587" s="3" t="s">
        <v>716</v>
      </c>
      <c r="C587" s="3" t="s">
        <v>12</v>
      </c>
      <c r="D587" s="3" t="s">
        <v>26</v>
      </c>
      <c r="E587" s="3" t="s">
        <v>27</v>
      </c>
      <c r="F587" s="3" t="n">
        <v>2</v>
      </c>
      <c r="G587" s="4" t="n">
        <v>2500</v>
      </c>
      <c r="H587" s="4" t="n">
        <f aca="false">F587*G587</f>
        <v>5000</v>
      </c>
    </row>
    <row r="588" customFormat="false" ht="15" hidden="false" customHeight="false" outlineLevel="0" collapsed="false">
      <c r="A588" s="3" t="s">
        <v>719</v>
      </c>
      <c r="B588" s="3" t="s">
        <v>716</v>
      </c>
      <c r="C588" s="3" t="s">
        <v>11</v>
      </c>
      <c r="D588" s="3" t="s">
        <v>26</v>
      </c>
      <c r="E588" s="3" t="s">
        <v>24</v>
      </c>
      <c r="F588" s="3" t="n">
        <v>4</v>
      </c>
      <c r="G588" s="4" t="n">
        <v>2500</v>
      </c>
      <c r="H588" s="4" t="n">
        <f aca="false">F588*G588</f>
        <v>10000</v>
      </c>
    </row>
    <row r="589" customFormat="false" ht="15" hidden="false" customHeight="false" outlineLevel="0" collapsed="false">
      <c r="A589" s="3" t="s">
        <v>720</v>
      </c>
      <c r="B589" s="3" t="s">
        <v>716</v>
      </c>
      <c r="C589" s="3" t="s">
        <v>8</v>
      </c>
      <c r="D589" s="3" t="s">
        <v>34</v>
      </c>
      <c r="E589" s="3" t="s">
        <v>27</v>
      </c>
      <c r="F589" s="3" t="n">
        <v>1</v>
      </c>
      <c r="G589" s="4" t="n">
        <v>18500</v>
      </c>
      <c r="H589" s="4" t="n">
        <f aca="false">F589*G589</f>
        <v>18500</v>
      </c>
    </row>
    <row r="590" customFormat="false" ht="15" hidden="false" customHeight="false" outlineLevel="0" collapsed="false">
      <c r="A590" s="3" t="s">
        <v>721</v>
      </c>
      <c r="B590" s="3" t="s">
        <v>716</v>
      </c>
      <c r="C590" s="3" t="s">
        <v>12</v>
      </c>
      <c r="D590" s="3" t="s">
        <v>40</v>
      </c>
      <c r="E590" s="3" t="s">
        <v>27</v>
      </c>
      <c r="F590" s="3" t="n">
        <v>1</v>
      </c>
      <c r="G590" s="4" t="n">
        <v>28000</v>
      </c>
      <c r="H590" s="4" t="n">
        <f aca="false">F590*G590</f>
        <v>28000</v>
      </c>
    </row>
    <row r="591" customFormat="false" ht="15" hidden="false" customHeight="false" outlineLevel="0" collapsed="false">
      <c r="A591" s="3" t="s">
        <v>722</v>
      </c>
      <c r="B591" s="3" t="s">
        <v>716</v>
      </c>
      <c r="C591" s="3" t="s">
        <v>12</v>
      </c>
      <c r="D591" s="3" t="s">
        <v>31</v>
      </c>
      <c r="E591" s="3" t="s">
        <v>24</v>
      </c>
      <c r="F591" s="3" t="n">
        <v>2</v>
      </c>
      <c r="G591" s="4" t="n">
        <v>62000</v>
      </c>
      <c r="H591" s="4" t="n">
        <f aca="false">F591*G591</f>
        <v>124000</v>
      </c>
    </row>
    <row r="592" customFormat="false" ht="15" hidden="false" customHeight="false" outlineLevel="0" collapsed="false">
      <c r="A592" s="3" t="s">
        <v>723</v>
      </c>
      <c r="B592" s="3" t="s">
        <v>716</v>
      </c>
      <c r="C592" s="3" t="s">
        <v>11</v>
      </c>
      <c r="D592" s="3" t="s">
        <v>29</v>
      </c>
      <c r="E592" s="3" t="s">
        <v>27</v>
      </c>
      <c r="F592" s="3" t="n">
        <v>2</v>
      </c>
      <c r="G592" s="4" t="n">
        <v>45000</v>
      </c>
      <c r="H592" s="4" t="n">
        <f aca="false">F592*G592</f>
        <v>90000</v>
      </c>
    </row>
    <row r="593" customFormat="false" ht="15" hidden="false" customHeight="false" outlineLevel="0" collapsed="false">
      <c r="A593" s="3" t="s">
        <v>724</v>
      </c>
      <c r="B593" s="3" t="s">
        <v>716</v>
      </c>
      <c r="C593" s="3" t="s">
        <v>6</v>
      </c>
      <c r="D593" s="3" t="s">
        <v>31</v>
      </c>
      <c r="E593" s="3" t="s">
        <v>24</v>
      </c>
      <c r="F593" s="3" t="n">
        <v>1</v>
      </c>
      <c r="G593" s="4" t="n">
        <v>62000</v>
      </c>
      <c r="H593" s="4" t="n">
        <f aca="false">F593*G593</f>
        <v>62000</v>
      </c>
    </row>
    <row r="594" customFormat="false" ht="15" hidden="false" customHeight="false" outlineLevel="0" collapsed="false">
      <c r="A594" s="3" t="s">
        <v>725</v>
      </c>
      <c r="B594" s="3" t="s">
        <v>726</v>
      </c>
      <c r="C594" s="3" t="s">
        <v>12</v>
      </c>
      <c r="D594" s="3" t="s">
        <v>31</v>
      </c>
      <c r="E594" s="3" t="s">
        <v>24</v>
      </c>
      <c r="F594" s="3" t="n">
        <v>1</v>
      </c>
      <c r="G594" s="4" t="n">
        <v>62000</v>
      </c>
      <c r="H594" s="4" t="n">
        <f aca="false">F594*G594</f>
        <v>62000</v>
      </c>
    </row>
    <row r="595" customFormat="false" ht="15" hidden="false" customHeight="false" outlineLevel="0" collapsed="false">
      <c r="A595" s="3" t="s">
        <v>727</v>
      </c>
      <c r="B595" s="3" t="s">
        <v>726</v>
      </c>
      <c r="C595" s="3" t="s">
        <v>6</v>
      </c>
      <c r="D595" s="3" t="s">
        <v>34</v>
      </c>
      <c r="E595" s="3" t="s">
        <v>24</v>
      </c>
      <c r="F595" s="3" t="n">
        <v>2</v>
      </c>
      <c r="G595" s="4" t="n">
        <v>18500</v>
      </c>
      <c r="H595" s="4" t="n">
        <f aca="false">F595*G595</f>
        <v>37000</v>
      </c>
    </row>
    <row r="596" customFormat="false" ht="15" hidden="false" customHeight="false" outlineLevel="0" collapsed="false">
      <c r="A596" s="3" t="s">
        <v>728</v>
      </c>
      <c r="B596" s="3" t="s">
        <v>726</v>
      </c>
      <c r="C596" s="3" t="s">
        <v>6</v>
      </c>
      <c r="D596" s="3" t="s">
        <v>23</v>
      </c>
      <c r="E596" s="3" t="s">
        <v>24</v>
      </c>
      <c r="F596" s="3" t="n">
        <v>2</v>
      </c>
      <c r="G596" s="4" t="n">
        <v>6500</v>
      </c>
      <c r="H596" s="4" t="n">
        <f aca="false">F596*G596</f>
        <v>13000</v>
      </c>
    </row>
    <row r="597" customFormat="false" ht="15" hidden="false" customHeight="false" outlineLevel="0" collapsed="false">
      <c r="A597" s="3" t="s">
        <v>729</v>
      </c>
      <c r="B597" s="3" t="s">
        <v>726</v>
      </c>
      <c r="C597" s="3" t="s">
        <v>6</v>
      </c>
      <c r="D597" s="3" t="s">
        <v>40</v>
      </c>
      <c r="E597" s="3" t="s">
        <v>27</v>
      </c>
      <c r="F597" s="3" t="n">
        <v>2</v>
      </c>
      <c r="G597" s="4" t="n">
        <v>28000</v>
      </c>
      <c r="H597" s="4" t="n">
        <f aca="false">F597*G597</f>
        <v>56000</v>
      </c>
    </row>
    <row r="598" customFormat="false" ht="15" hidden="false" customHeight="false" outlineLevel="0" collapsed="false">
      <c r="A598" s="3" t="s">
        <v>730</v>
      </c>
      <c r="B598" s="3" t="s">
        <v>726</v>
      </c>
      <c r="C598" s="3" t="s">
        <v>11</v>
      </c>
      <c r="D598" s="3" t="s">
        <v>34</v>
      </c>
      <c r="E598" s="3" t="s">
        <v>24</v>
      </c>
      <c r="F598" s="3" t="n">
        <v>1</v>
      </c>
      <c r="G598" s="4" t="n">
        <v>18500</v>
      </c>
      <c r="H598" s="4" t="n">
        <f aca="false">F598*G598</f>
        <v>18500</v>
      </c>
    </row>
    <row r="599" customFormat="false" ht="15" hidden="false" customHeight="false" outlineLevel="0" collapsed="false">
      <c r="A599" s="3" t="s">
        <v>731</v>
      </c>
      <c r="B599" s="3" t="s">
        <v>726</v>
      </c>
      <c r="C599" s="3" t="s">
        <v>6</v>
      </c>
      <c r="D599" s="3" t="s">
        <v>34</v>
      </c>
      <c r="E599" s="3" t="s">
        <v>24</v>
      </c>
      <c r="F599" s="3" t="n">
        <v>2</v>
      </c>
      <c r="G599" s="4" t="n">
        <v>18500</v>
      </c>
      <c r="H599" s="4" t="n">
        <f aca="false">F599*G599</f>
        <v>37000</v>
      </c>
    </row>
    <row r="600" customFormat="false" ht="15" hidden="false" customHeight="false" outlineLevel="0" collapsed="false">
      <c r="A600" s="3" t="s">
        <v>732</v>
      </c>
      <c r="B600" s="3" t="s">
        <v>733</v>
      </c>
      <c r="C600" s="3" t="s">
        <v>6</v>
      </c>
      <c r="D600" s="3" t="s">
        <v>26</v>
      </c>
      <c r="E600" s="3" t="s">
        <v>24</v>
      </c>
      <c r="F600" s="3" t="n">
        <v>2</v>
      </c>
      <c r="G600" s="4" t="n">
        <v>2500</v>
      </c>
      <c r="H600" s="4" t="n">
        <f aca="false">F600*G600</f>
        <v>5000</v>
      </c>
    </row>
    <row r="601" customFormat="false" ht="15" hidden="false" customHeight="false" outlineLevel="0" collapsed="false">
      <c r="A601" s="3" t="s">
        <v>734</v>
      </c>
      <c r="B601" s="3" t="s">
        <v>733</v>
      </c>
      <c r="C601" s="3" t="s">
        <v>11</v>
      </c>
      <c r="D601" s="3" t="s">
        <v>26</v>
      </c>
      <c r="E601" s="3" t="s">
        <v>27</v>
      </c>
      <c r="F601" s="3" t="n">
        <v>5</v>
      </c>
      <c r="G601" s="4" t="n">
        <v>2500</v>
      </c>
      <c r="H601" s="4" t="n">
        <f aca="false">F601*G601</f>
        <v>12500</v>
      </c>
    </row>
    <row r="602" customFormat="false" ht="15" hidden="false" customHeight="false" outlineLevel="0" collapsed="false">
      <c r="A602" s="3" t="s">
        <v>735</v>
      </c>
      <c r="B602" s="3" t="s">
        <v>733</v>
      </c>
      <c r="C602" s="3" t="s">
        <v>11</v>
      </c>
      <c r="D602" s="3" t="s">
        <v>29</v>
      </c>
      <c r="E602" s="3" t="s">
        <v>24</v>
      </c>
      <c r="F602" s="3" t="n">
        <v>1</v>
      </c>
      <c r="G602" s="4" t="n">
        <v>45000</v>
      </c>
      <c r="H602" s="4" t="n">
        <f aca="false">F602*G602</f>
        <v>45000</v>
      </c>
    </row>
    <row r="603" customFormat="false" ht="15" hidden="false" customHeight="false" outlineLevel="0" collapsed="false">
      <c r="A603" s="3" t="s">
        <v>736</v>
      </c>
      <c r="B603" s="3" t="s">
        <v>733</v>
      </c>
      <c r="C603" s="3" t="s">
        <v>8</v>
      </c>
      <c r="D603" s="3" t="s">
        <v>23</v>
      </c>
      <c r="E603" s="3" t="s">
        <v>24</v>
      </c>
      <c r="F603" s="3" t="n">
        <v>2</v>
      </c>
      <c r="G603" s="4" t="n">
        <v>6500</v>
      </c>
      <c r="H603" s="4" t="n">
        <f aca="false">F603*G603</f>
        <v>13000</v>
      </c>
    </row>
    <row r="604" customFormat="false" ht="15" hidden="false" customHeight="false" outlineLevel="0" collapsed="false">
      <c r="A604" s="3" t="s">
        <v>737</v>
      </c>
      <c r="B604" s="3" t="s">
        <v>733</v>
      </c>
      <c r="C604" s="3" t="s">
        <v>6</v>
      </c>
      <c r="D604" s="3" t="s">
        <v>26</v>
      </c>
      <c r="E604" s="3" t="s">
        <v>24</v>
      </c>
      <c r="F604" s="3" t="n">
        <v>4</v>
      </c>
      <c r="G604" s="4" t="n">
        <v>2500</v>
      </c>
      <c r="H604" s="4" t="n">
        <f aca="false">F604*G604</f>
        <v>10000</v>
      </c>
    </row>
    <row r="605" customFormat="false" ht="15" hidden="false" customHeight="false" outlineLevel="0" collapsed="false">
      <c r="A605" s="3" t="s">
        <v>738</v>
      </c>
      <c r="B605" s="3" t="s">
        <v>733</v>
      </c>
      <c r="C605" s="3" t="s">
        <v>12</v>
      </c>
      <c r="D605" s="3" t="s">
        <v>23</v>
      </c>
      <c r="E605" s="3" t="s">
        <v>24</v>
      </c>
      <c r="F605" s="3" t="n">
        <v>2</v>
      </c>
      <c r="G605" s="4" t="n">
        <v>6500</v>
      </c>
      <c r="H605" s="4" t="n">
        <f aca="false">F605*G605</f>
        <v>13000</v>
      </c>
    </row>
    <row r="606" customFormat="false" ht="15" hidden="false" customHeight="false" outlineLevel="0" collapsed="false">
      <c r="A606" s="3" t="s">
        <v>739</v>
      </c>
      <c r="B606" s="3" t="s">
        <v>740</v>
      </c>
      <c r="C606" s="3" t="s">
        <v>8</v>
      </c>
      <c r="D606" s="3" t="s">
        <v>23</v>
      </c>
      <c r="E606" s="3" t="s">
        <v>27</v>
      </c>
      <c r="F606" s="3" t="n">
        <v>2</v>
      </c>
      <c r="G606" s="4" t="n">
        <v>6500</v>
      </c>
      <c r="H606" s="4" t="n">
        <f aca="false">F606*G606</f>
        <v>13000</v>
      </c>
    </row>
    <row r="607" customFormat="false" ht="15" hidden="false" customHeight="false" outlineLevel="0" collapsed="false">
      <c r="A607" s="3" t="s">
        <v>741</v>
      </c>
      <c r="B607" s="3" t="s">
        <v>740</v>
      </c>
      <c r="C607" s="3" t="s">
        <v>6</v>
      </c>
      <c r="D607" s="3" t="s">
        <v>34</v>
      </c>
      <c r="E607" s="3" t="s">
        <v>27</v>
      </c>
      <c r="F607" s="3" t="n">
        <v>1</v>
      </c>
      <c r="G607" s="4" t="n">
        <v>18500</v>
      </c>
      <c r="H607" s="4" t="n">
        <f aca="false">F607*G607</f>
        <v>18500</v>
      </c>
    </row>
    <row r="608" customFormat="false" ht="15" hidden="false" customHeight="false" outlineLevel="0" collapsed="false">
      <c r="A608" s="3" t="s">
        <v>742</v>
      </c>
      <c r="B608" s="3" t="s">
        <v>740</v>
      </c>
      <c r="C608" s="3" t="s">
        <v>12</v>
      </c>
      <c r="D608" s="3" t="s">
        <v>34</v>
      </c>
      <c r="E608" s="3" t="s">
        <v>27</v>
      </c>
      <c r="F608" s="3" t="n">
        <v>1</v>
      </c>
      <c r="G608" s="4" t="n">
        <v>18500</v>
      </c>
      <c r="H608" s="4" t="n">
        <f aca="false">F608*G608</f>
        <v>18500</v>
      </c>
    </row>
    <row r="609" customFormat="false" ht="15" hidden="false" customHeight="false" outlineLevel="0" collapsed="false">
      <c r="A609" s="3" t="s">
        <v>743</v>
      </c>
      <c r="B609" s="3" t="s">
        <v>744</v>
      </c>
      <c r="C609" s="3" t="s">
        <v>6</v>
      </c>
      <c r="D609" s="3" t="s">
        <v>34</v>
      </c>
      <c r="E609" s="3" t="s">
        <v>24</v>
      </c>
      <c r="F609" s="3" t="n">
        <v>1</v>
      </c>
      <c r="G609" s="4" t="n">
        <v>18500</v>
      </c>
      <c r="H609" s="4" t="n">
        <f aca="false">F609*G609</f>
        <v>18500</v>
      </c>
    </row>
    <row r="610" customFormat="false" ht="15" hidden="false" customHeight="false" outlineLevel="0" collapsed="false">
      <c r="A610" s="3" t="s">
        <v>745</v>
      </c>
      <c r="B610" s="3" t="s">
        <v>744</v>
      </c>
      <c r="C610" s="3" t="s">
        <v>11</v>
      </c>
      <c r="D610" s="3" t="s">
        <v>34</v>
      </c>
      <c r="E610" s="3" t="s">
        <v>27</v>
      </c>
      <c r="F610" s="3" t="n">
        <v>2</v>
      </c>
      <c r="G610" s="4" t="n">
        <v>18500</v>
      </c>
      <c r="H610" s="4" t="n">
        <f aca="false">F610*G610</f>
        <v>37000</v>
      </c>
    </row>
    <row r="611" customFormat="false" ht="15" hidden="false" customHeight="false" outlineLevel="0" collapsed="false">
      <c r="A611" s="3" t="s">
        <v>746</v>
      </c>
      <c r="B611" s="3" t="s">
        <v>744</v>
      </c>
      <c r="C611" s="3" t="s">
        <v>8</v>
      </c>
      <c r="D611" s="3" t="s">
        <v>40</v>
      </c>
      <c r="E611" s="3" t="s">
        <v>27</v>
      </c>
      <c r="F611" s="3" t="n">
        <v>2</v>
      </c>
      <c r="G611" s="4" t="n">
        <v>28000</v>
      </c>
      <c r="H611" s="4" t="n">
        <f aca="false">F611*G611</f>
        <v>56000</v>
      </c>
    </row>
    <row r="612" customFormat="false" ht="15" hidden="false" customHeight="false" outlineLevel="0" collapsed="false">
      <c r="A612" s="3" t="s">
        <v>747</v>
      </c>
      <c r="B612" s="3" t="s">
        <v>744</v>
      </c>
      <c r="C612" s="3" t="s">
        <v>10</v>
      </c>
      <c r="D612" s="3" t="s">
        <v>31</v>
      </c>
      <c r="E612" s="3" t="s">
        <v>24</v>
      </c>
      <c r="F612" s="3" t="n">
        <v>2</v>
      </c>
      <c r="G612" s="4" t="n">
        <v>62000</v>
      </c>
      <c r="H612" s="4" t="n">
        <f aca="false">F612*G612</f>
        <v>124000</v>
      </c>
    </row>
    <row r="613" customFormat="false" ht="15" hidden="false" customHeight="false" outlineLevel="0" collapsed="false">
      <c r="A613" s="3" t="s">
        <v>748</v>
      </c>
      <c r="B613" s="3" t="s">
        <v>744</v>
      </c>
      <c r="C613" s="3" t="s">
        <v>6</v>
      </c>
      <c r="D613" s="3" t="s">
        <v>26</v>
      </c>
      <c r="E613" s="3" t="s">
        <v>24</v>
      </c>
      <c r="F613" s="3" t="n">
        <v>4</v>
      </c>
      <c r="G613" s="4" t="n">
        <v>2500</v>
      </c>
      <c r="H613" s="4" t="n">
        <f aca="false">F613*G613</f>
        <v>10000</v>
      </c>
    </row>
    <row r="614" customFormat="false" ht="15" hidden="false" customHeight="false" outlineLevel="0" collapsed="false">
      <c r="A614" s="3" t="s">
        <v>749</v>
      </c>
      <c r="B614" s="3" t="s">
        <v>750</v>
      </c>
      <c r="C614" s="3" t="s">
        <v>10</v>
      </c>
      <c r="D614" s="3" t="s">
        <v>26</v>
      </c>
      <c r="E614" s="3" t="s">
        <v>24</v>
      </c>
      <c r="F614" s="3" t="n">
        <v>3</v>
      </c>
      <c r="G614" s="4" t="n">
        <v>2500</v>
      </c>
      <c r="H614" s="4" t="n">
        <f aca="false">F614*G614</f>
        <v>7500</v>
      </c>
    </row>
    <row r="615" customFormat="false" ht="15" hidden="false" customHeight="false" outlineLevel="0" collapsed="false">
      <c r="A615" s="3" t="s">
        <v>751</v>
      </c>
      <c r="B615" s="3" t="s">
        <v>750</v>
      </c>
      <c r="C615" s="3" t="s">
        <v>6</v>
      </c>
      <c r="D615" s="3" t="s">
        <v>34</v>
      </c>
      <c r="E615" s="3" t="s">
        <v>27</v>
      </c>
      <c r="F615" s="3" t="n">
        <v>1</v>
      </c>
      <c r="G615" s="4" t="n">
        <v>18500</v>
      </c>
      <c r="H615" s="4" t="n">
        <f aca="false">F615*G615</f>
        <v>18500</v>
      </c>
    </row>
    <row r="616" customFormat="false" ht="15" hidden="false" customHeight="false" outlineLevel="0" collapsed="false">
      <c r="A616" s="3" t="s">
        <v>752</v>
      </c>
      <c r="B616" s="3" t="s">
        <v>750</v>
      </c>
      <c r="C616" s="3" t="s">
        <v>12</v>
      </c>
      <c r="D616" s="3" t="s">
        <v>34</v>
      </c>
      <c r="E616" s="3" t="s">
        <v>27</v>
      </c>
      <c r="F616" s="3" t="n">
        <v>2</v>
      </c>
      <c r="G616" s="4" t="n">
        <v>18500</v>
      </c>
      <c r="H616" s="4" t="n">
        <f aca="false">F616*G616</f>
        <v>37000</v>
      </c>
    </row>
    <row r="617" customFormat="false" ht="15" hidden="false" customHeight="false" outlineLevel="0" collapsed="false">
      <c r="A617" s="3" t="s">
        <v>753</v>
      </c>
      <c r="B617" s="3" t="s">
        <v>750</v>
      </c>
      <c r="C617" s="3" t="s">
        <v>10</v>
      </c>
      <c r="D617" s="3" t="s">
        <v>26</v>
      </c>
      <c r="E617" s="3" t="s">
        <v>24</v>
      </c>
      <c r="F617" s="3" t="n">
        <v>4</v>
      </c>
      <c r="G617" s="4" t="n">
        <v>2500</v>
      </c>
      <c r="H617" s="4" t="n">
        <f aca="false">F617*G617</f>
        <v>10000</v>
      </c>
    </row>
    <row r="618" customFormat="false" ht="15" hidden="false" customHeight="false" outlineLevel="0" collapsed="false">
      <c r="A618" s="3" t="s">
        <v>754</v>
      </c>
      <c r="B618" s="3" t="s">
        <v>750</v>
      </c>
      <c r="C618" s="3" t="s">
        <v>6</v>
      </c>
      <c r="D618" s="3" t="s">
        <v>31</v>
      </c>
      <c r="E618" s="3" t="s">
        <v>24</v>
      </c>
      <c r="F618" s="3" t="n">
        <v>2</v>
      </c>
      <c r="G618" s="4" t="n">
        <v>62000</v>
      </c>
      <c r="H618" s="4" t="n">
        <f aca="false">F618*G618</f>
        <v>124000</v>
      </c>
    </row>
    <row r="619" customFormat="false" ht="15" hidden="false" customHeight="false" outlineLevel="0" collapsed="false">
      <c r="A619" s="3" t="s">
        <v>755</v>
      </c>
      <c r="B619" s="3" t="s">
        <v>750</v>
      </c>
      <c r="C619" s="3" t="s">
        <v>6</v>
      </c>
      <c r="D619" s="3" t="s">
        <v>40</v>
      </c>
      <c r="E619" s="3" t="s">
        <v>24</v>
      </c>
      <c r="F619" s="3" t="n">
        <v>2</v>
      </c>
      <c r="G619" s="4" t="n">
        <v>28000</v>
      </c>
      <c r="H619" s="4" t="n">
        <f aca="false">F619*G619</f>
        <v>56000</v>
      </c>
    </row>
    <row r="620" customFormat="false" ht="15" hidden="false" customHeight="false" outlineLevel="0" collapsed="false">
      <c r="A620" s="3" t="s">
        <v>756</v>
      </c>
      <c r="B620" s="3" t="s">
        <v>750</v>
      </c>
      <c r="C620" s="3" t="s">
        <v>6</v>
      </c>
      <c r="D620" s="3" t="s">
        <v>23</v>
      </c>
      <c r="E620" s="3" t="s">
        <v>24</v>
      </c>
      <c r="F620" s="3" t="n">
        <v>3</v>
      </c>
      <c r="G620" s="4" t="n">
        <v>6500</v>
      </c>
      <c r="H620" s="4" t="n">
        <f aca="false">F620*G620</f>
        <v>19500</v>
      </c>
    </row>
    <row r="621" customFormat="false" ht="15" hidden="false" customHeight="false" outlineLevel="0" collapsed="false">
      <c r="A621" s="3" t="s">
        <v>757</v>
      </c>
      <c r="B621" s="3" t="s">
        <v>750</v>
      </c>
      <c r="C621" s="3" t="s">
        <v>11</v>
      </c>
      <c r="D621" s="3" t="s">
        <v>31</v>
      </c>
      <c r="E621" s="3" t="s">
        <v>27</v>
      </c>
      <c r="F621" s="3" t="n">
        <v>2</v>
      </c>
      <c r="G621" s="4" t="n">
        <v>62000</v>
      </c>
      <c r="H621" s="4" t="n">
        <f aca="false">F621*G621</f>
        <v>124000</v>
      </c>
    </row>
    <row r="622" customFormat="false" ht="15" hidden="false" customHeight="false" outlineLevel="0" collapsed="false">
      <c r="A622" s="3" t="s">
        <v>758</v>
      </c>
      <c r="B622" s="3" t="s">
        <v>759</v>
      </c>
      <c r="C622" s="3" t="s">
        <v>12</v>
      </c>
      <c r="D622" s="3" t="s">
        <v>26</v>
      </c>
      <c r="E622" s="3" t="s">
        <v>27</v>
      </c>
      <c r="F622" s="3" t="n">
        <v>1</v>
      </c>
      <c r="G622" s="4" t="n">
        <v>2500</v>
      </c>
      <c r="H622" s="4" t="n">
        <f aca="false">F622*G622</f>
        <v>2500</v>
      </c>
    </row>
    <row r="623" customFormat="false" ht="15" hidden="false" customHeight="false" outlineLevel="0" collapsed="false">
      <c r="A623" s="3" t="s">
        <v>760</v>
      </c>
      <c r="B623" s="3" t="s">
        <v>759</v>
      </c>
      <c r="C623" s="3" t="s">
        <v>12</v>
      </c>
      <c r="D623" s="3" t="s">
        <v>26</v>
      </c>
      <c r="E623" s="3" t="s">
        <v>27</v>
      </c>
      <c r="F623" s="3" t="n">
        <v>2</v>
      </c>
      <c r="G623" s="4" t="n">
        <v>2500</v>
      </c>
      <c r="H623" s="4" t="n">
        <f aca="false">F623*G623</f>
        <v>5000</v>
      </c>
    </row>
    <row r="624" customFormat="false" ht="15" hidden="false" customHeight="false" outlineLevel="0" collapsed="false">
      <c r="A624" s="3" t="s">
        <v>761</v>
      </c>
      <c r="B624" s="3" t="s">
        <v>759</v>
      </c>
      <c r="C624" s="3" t="s">
        <v>6</v>
      </c>
      <c r="D624" s="3" t="s">
        <v>26</v>
      </c>
      <c r="E624" s="3" t="s">
        <v>24</v>
      </c>
      <c r="F624" s="3" t="n">
        <v>1</v>
      </c>
      <c r="G624" s="4" t="n">
        <v>2500</v>
      </c>
      <c r="H624" s="4" t="n">
        <f aca="false">F624*G624</f>
        <v>2500</v>
      </c>
    </row>
    <row r="625" customFormat="false" ht="15" hidden="false" customHeight="false" outlineLevel="0" collapsed="false">
      <c r="A625" s="3" t="s">
        <v>762</v>
      </c>
      <c r="B625" s="3" t="s">
        <v>759</v>
      </c>
      <c r="C625" s="3" t="s">
        <v>11</v>
      </c>
      <c r="D625" s="3" t="s">
        <v>23</v>
      </c>
      <c r="E625" s="3" t="s">
        <v>24</v>
      </c>
      <c r="F625" s="3" t="n">
        <v>3</v>
      </c>
      <c r="G625" s="4" t="n">
        <v>6500</v>
      </c>
      <c r="H625" s="4" t="n">
        <f aca="false">F625*G625</f>
        <v>19500</v>
      </c>
    </row>
    <row r="626" customFormat="false" ht="15" hidden="false" customHeight="false" outlineLevel="0" collapsed="false">
      <c r="A626" s="3" t="s">
        <v>763</v>
      </c>
      <c r="B626" s="3" t="s">
        <v>759</v>
      </c>
      <c r="C626" s="3" t="s">
        <v>6</v>
      </c>
      <c r="D626" s="3" t="s">
        <v>23</v>
      </c>
      <c r="E626" s="3" t="s">
        <v>24</v>
      </c>
      <c r="F626" s="3" t="n">
        <v>2</v>
      </c>
      <c r="G626" s="4" t="n">
        <v>6500</v>
      </c>
      <c r="H626" s="4" t="n">
        <f aca="false">F626*G626</f>
        <v>13000</v>
      </c>
    </row>
    <row r="627" customFormat="false" ht="15" hidden="false" customHeight="false" outlineLevel="0" collapsed="false">
      <c r="A627" s="3" t="s">
        <v>764</v>
      </c>
      <c r="B627" s="3" t="s">
        <v>759</v>
      </c>
      <c r="C627" s="3" t="s">
        <v>6</v>
      </c>
      <c r="D627" s="3" t="s">
        <v>26</v>
      </c>
      <c r="E627" s="3" t="s">
        <v>24</v>
      </c>
      <c r="F627" s="3" t="n">
        <v>3</v>
      </c>
      <c r="G627" s="4" t="n">
        <v>2500</v>
      </c>
      <c r="H627" s="4" t="n">
        <f aca="false">F627*G627</f>
        <v>7500</v>
      </c>
    </row>
    <row r="628" customFormat="false" ht="15" hidden="false" customHeight="false" outlineLevel="0" collapsed="false">
      <c r="A628" s="3" t="s">
        <v>765</v>
      </c>
      <c r="B628" s="3" t="s">
        <v>759</v>
      </c>
      <c r="C628" s="3" t="s">
        <v>11</v>
      </c>
      <c r="D628" s="3" t="s">
        <v>23</v>
      </c>
      <c r="E628" s="3" t="s">
        <v>24</v>
      </c>
      <c r="F628" s="3" t="n">
        <v>3</v>
      </c>
      <c r="G628" s="4" t="n">
        <v>6500</v>
      </c>
      <c r="H628" s="4" t="n">
        <f aca="false">F628*G628</f>
        <v>19500</v>
      </c>
    </row>
    <row r="629" customFormat="false" ht="15" hidden="false" customHeight="false" outlineLevel="0" collapsed="false">
      <c r="A629" s="3" t="s">
        <v>766</v>
      </c>
      <c r="B629" s="3" t="s">
        <v>759</v>
      </c>
      <c r="C629" s="3" t="s">
        <v>6</v>
      </c>
      <c r="D629" s="3" t="s">
        <v>26</v>
      </c>
      <c r="E629" s="3" t="s">
        <v>24</v>
      </c>
      <c r="F629" s="3" t="n">
        <v>5</v>
      </c>
      <c r="G629" s="4" t="n">
        <v>2500</v>
      </c>
      <c r="H629" s="4" t="n">
        <f aca="false">F629*G629</f>
        <v>12500</v>
      </c>
    </row>
    <row r="630" customFormat="false" ht="15" hidden="false" customHeight="false" outlineLevel="0" collapsed="false">
      <c r="A630" s="3" t="s">
        <v>767</v>
      </c>
      <c r="B630" s="3" t="s">
        <v>759</v>
      </c>
      <c r="C630" s="3" t="s">
        <v>8</v>
      </c>
      <c r="D630" s="3" t="s">
        <v>40</v>
      </c>
      <c r="E630" s="3" t="s">
        <v>27</v>
      </c>
      <c r="F630" s="3" t="n">
        <v>1</v>
      </c>
      <c r="G630" s="4" t="n">
        <v>28000</v>
      </c>
      <c r="H630" s="4" t="n">
        <f aca="false">F630*G630</f>
        <v>28000</v>
      </c>
    </row>
    <row r="631" customFormat="false" ht="15" hidden="false" customHeight="false" outlineLevel="0" collapsed="false">
      <c r="A631" s="3" t="s">
        <v>768</v>
      </c>
      <c r="B631" s="3" t="s">
        <v>769</v>
      </c>
      <c r="C631" s="3" t="s">
        <v>8</v>
      </c>
      <c r="D631" s="3" t="s">
        <v>40</v>
      </c>
      <c r="E631" s="3" t="s">
        <v>24</v>
      </c>
      <c r="F631" s="3" t="n">
        <v>1</v>
      </c>
      <c r="G631" s="4" t="n">
        <v>28000</v>
      </c>
      <c r="H631" s="4" t="n">
        <f aca="false">F631*G631</f>
        <v>28000</v>
      </c>
    </row>
    <row r="632" customFormat="false" ht="15" hidden="false" customHeight="false" outlineLevel="0" collapsed="false">
      <c r="A632" s="3" t="s">
        <v>770</v>
      </c>
      <c r="B632" s="3" t="s">
        <v>769</v>
      </c>
      <c r="C632" s="3" t="s">
        <v>11</v>
      </c>
      <c r="D632" s="3" t="s">
        <v>23</v>
      </c>
      <c r="E632" s="3" t="s">
        <v>24</v>
      </c>
      <c r="F632" s="3" t="n">
        <v>5</v>
      </c>
      <c r="G632" s="4" t="n">
        <v>6500</v>
      </c>
      <c r="H632" s="4" t="n">
        <f aca="false">F632*G632</f>
        <v>32500</v>
      </c>
    </row>
    <row r="633" customFormat="false" ht="15" hidden="false" customHeight="false" outlineLevel="0" collapsed="false">
      <c r="A633" s="3" t="s">
        <v>771</v>
      </c>
      <c r="B633" s="3" t="s">
        <v>769</v>
      </c>
      <c r="C633" s="3" t="s">
        <v>12</v>
      </c>
      <c r="D633" s="3" t="s">
        <v>34</v>
      </c>
      <c r="E633" s="3" t="s">
        <v>27</v>
      </c>
      <c r="F633" s="3" t="n">
        <v>1</v>
      </c>
      <c r="G633" s="4" t="n">
        <v>18500</v>
      </c>
      <c r="H633" s="4" t="n">
        <f aca="false">F633*G633</f>
        <v>18500</v>
      </c>
    </row>
    <row r="634" customFormat="false" ht="15" hidden="false" customHeight="false" outlineLevel="0" collapsed="false">
      <c r="A634" s="3" t="s">
        <v>772</v>
      </c>
      <c r="B634" s="3" t="s">
        <v>773</v>
      </c>
      <c r="C634" s="3" t="s">
        <v>8</v>
      </c>
      <c r="D634" s="3" t="s">
        <v>40</v>
      </c>
      <c r="E634" s="3" t="s">
        <v>27</v>
      </c>
      <c r="F634" s="3" t="n">
        <v>1</v>
      </c>
      <c r="G634" s="4" t="n">
        <v>28000</v>
      </c>
      <c r="H634" s="4" t="n">
        <f aca="false">F634*G634</f>
        <v>28000</v>
      </c>
    </row>
    <row r="635" customFormat="false" ht="15" hidden="false" customHeight="false" outlineLevel="0" collapsed="false">
      <c r="A635" s="3" t="s">
        <v>774</v>
      </c>
      <c r="B635" s="3" t="s">
        <v>773</v>
      </c>
      <c r="C635" s="3" t="s">
        <v>6</v>
      </c>
      <c r="D635" s="3" t="s">
        <v>34</v>
      </c>
      <c r="E635" s="3" t="s">
        <v>24</v>
      </c>
      <c r="F635" s="3" t="n">
        <v>1</v>
      </c>
      <c r="G635" s="4" t="n">
        <v>18500</v>
      </c>
      <c r="H635" s="4" t="n">
        <f aca="false">F635*G635</f>
        <v>18500</v>
      </c>
    </row>
    <row r="636" customFormat="false" ht="15" hidden="false" customHeight="false" outlineLevel="0" collapsed="false">
      <c r="A636" s="3" t="s">
        <v>775</v>
      </c>
      <c r="B636" s="3" t="s">
        <v>773</v>
      </c>
      <c r="C636" s="3" t="s">
        <v>11</v>
      </c>
      <c r="D636" s="3" t="s">
        <v>23</v>
      </c>
      <c r="E636" s="3" t="s">
        <v>27</v>
      </c>
      <c r="F636" s="3" t="n">
        <v>4</v>
      </c>
      <c r="G636" s="4" t="n">
        <v>6500</v>
      </c>
      <c r="H636" s="4" t="n">
        <f aca="false">F636*G636</f>
        <v>26000</v>
      </c>
    </row>
    <row r="637" customFormat="false" ht="15" hidden="false" customHeight="false" outlineLevel="0" collapsed="false">
      <c r="A637" s="3" t="s">
        <v>776</v>
      </c>
      <c r="B637" s="3" t="s">
        <v>773</v>
      </c>
      <c r="C637" s="3" t="s">
        <v>12</v>
      </c>
      <c r="D637" s="3" t="s">
        <v>26</v>
      </c>
      <c r="E637" s="3" t="s">
        <v>27</v>
      </c>
      <c r="F637" s="3" t="n">
        <v>5</v>
      </c>
      <c r="G637" s="4" t="n">
        <v>2500</v>
      </c>
      <c r="H637" s="4" t="n">
        <f aca="false">F637*G637</f>
        <v>12500</v>
      </c>
    </row>
    <row r="638" customFormat="false" ht="15" hidden="false" customHeight="false" outlineLevel="0" collapsed="false">
      <c r="A638" s="3" t="s">
        <v>777</v>
      </c>
      <c r="B638" s="3" t="s">
        <v>778</v>
      </c>
      <c r="C638" s="3" t="s">
        <v>12</v>
      </c>
      <c r="D638" s="3" t="s">
        <v>29</v>
      </c>
      <c r="E638" s="3" t="s">
        <v>24</v>
      </c>
      <c r="F638" s="3" t="n">
        <v>2</v>
      </c>
      <c r="G638" s="4" t="n">
        <v>45000</v>
      </c>
      <c r="H638" s="4" t="n">
        <f aca="false">F638*G638</f>
        <v>90000</v>
      </c>
    </row>
    <row r="639" customFormat="false" ht="15" hidden="false" customHeight="false" outlineLevel="0" collapsed="false">
      <c r="A639" s="3" t="s">
        <v>779</v>
      </c>
      <c r="B639" s="3" t="s">
        <v>778</v>
      </c>
      <c r="C639" s="3" t="s">
        <v>6</v>
      </c>
      <c r="D639" s="3" t="s">
        <v>29</v>
      </c>
      <c r="E639" s="3" t="s">
        <v>27</v>
      </c>
      <c r="F639" s="3" t="n">
        <v>2</v>
      </c>
      <c r="G639" s="4" t="n">
        <v>45000</v>
      </c>
      <c r="H639" s="4" t="n">
        <f aca="false">F639*G639</f>
        <v>90000</v>
      </c>
    </row>
    <row r="640" customFormat="false" ht="15" hidden="false" customHeight="false" outlineLevel="0" collapsed="false">
      <c r="A640" s="3" t="s">
        <v>780</v>
      </c>
      <c r="B640" s="3" t="s">
        <v>778</v>
      </c>
      <c r="C640" s="3" t="s">
        <v>12</v>
      </c>
      <c r="D640" s="3" t="s">
        <v>23</v>
      </c>
      <c r="E640" s="3" t="s">
        <v>27</v>
      </c>
      <c r="F640" s="3" t="n">
        <v>2</v>
      </c>
      <c r="G640" s="4" t="n">
        <v>6500</v>
      </c>
      <c r="H640" s="4" t="n">
        <f aca="false">F640*G640</f>
        <v>13000</v>
      </c>
    </row>
    <row r="641" customFormat="false" ht="15" hidden="false" customHeight="false" outlineLevel="0" collapsed="false">
      <c r="A641" s="3" t="s">
        <v>781</v>
      </c>
      <c r="B641" s="3" t="s">
        <v>778</v>
      </c>
      <c r="C641" s="3" t="s">
        <v>10</v>
      </c>
      <c r="D641" s="3" t="s">
        <v>34</v>
      </c>
      <c r="E641" s="3" t="s">
        <v>27</v>
      </c>
      <c r="F641" s="3" t="n">
        <v>1</v>
      </c>
      <c r="G641" s="4" t="n">
        <v>18500</v>
      </c>
      <c r="H641" s="4" t="n">
        <f aca="false">F641*G641</f>
        <v>18500</v>
      </c>
    </row>
    <row r="642" customFormat="false" ht="15" hidden="false" customHeight="false" outlineLevel="0" collapsed="false">
      <c r="A642" s="3" t="s">
        <v>782</v>
      </c>
      <c r="B642" s="3" t="s">
        <v>778</v>
      </c>
      <c r="C642" s="3" t="s">
        <v>6</v>
      </c>
      <c r="D642" s="3" t="s">
        <v>26</v>
      </c>
      <c r="E642" s="3" t="s">
        <v>24</v>
      </c>
      <c r="F642" s="3" t="n">
        <v>2</v>
      </c>
      <c r="G642" s="4" t="n">
        <v>2500</v>
      </c>
      <c r="H642" s="4" t="n">
        <f aca="false">F642*G642</f>
        <v>5000</v>
      </c>
    </row>
    <row r="643" customFormat="false" ht="15" hidden="false" customHeight="false" outlineLevel="0" collapsed="false">
      <c r="A643" s="3" t="s">
        <v>783</v>
      </c>
      <c r="B643" s="3" t="s">
        <v>778</v>
      </c>
      <c r="C643" s="3" t="s">
        <v>12</v>
      </c>
      <c r="D643" s="3" t="s">
        <v>23</v>
      </c>
      <c r="E643" s="3" t="s">
        <v>24</v>
      </c>
      <c r="F643" s="3" t="n">
        <v>1</v>
      </c>
      <c r="G643" s="4" t="n">
        <v>6500</v>
      </c>
      <c r="H643" s="4" t="n">
        <f aca="false">F643*G643</f>
        <v>6500</v>
      </c>
    </row>
    <row r="644" customFormat="false" ht="15" hidden="false" customHeight="false" outlineLevel="0" collapsed="false">
      <c r="A644" s="3" t="s">
        <v>784</v>
      </c>
      <c r="B644" s="3" t="s">
        <v>778</v>
      </c>
      <c r="C644" s="3" t="s">
        <v>6</v>
      </c>
      <c r="D644" s="3" t="s">
        <v>31</v>
      </c>
      <c r="E644" s="3" t="s">
        <v>27</v>
      </c>
      <c r="F644" s="3" t="n">
        <v>1</v>
      </c>
      <c r="G644" s="4" t="n">
        <v>62000</v>
      </c>
      <c r="H644" s="4" t="n">
        <f aca="false">F644*G644</f>
        <v>62000</v>
      </c>
    </row>
    <row r="645" customFormat="false" ht="15" hidden="false" customHeight="false" outlineLevel="0" collapsed="false">
      <c r="A645" s="3" t="s">
        <v>785</v>
      </c>
      <c r="B645" s="3" t="s">
        <v>786</v>
      </c>
      <c r="C645" s="3" t="s">
        <v>6</v>
      </c>
      <c r="D645" s="3" t="s">
        <v>23</v>
      </c>
      <c r="E645" s="3" t="s">
        <v>24</v>
      </c>
      <c r="F645" s="3" t="n">
        <v>1</v>
      </c>
      <c r="G645" s="4" t="n">
        <v>6500</v>
      </c>
      <c r="H645" s="4" t="n">
        <f aca="false">F645*G645</f>
        <v>6500</v>
      </c>
    </row>
    <row r="646" customFormat="false" ht="15" hidden="false" customHeight="false" outlineLevel="0" collapsed="false">
      <c r="A646" s="3" t="s">
        <v>787</v>
      </c>
      <c r="B646" s="3" t="s">
        <v>786</v>
      </c>
      <c r="C646" s="3" t="s">
        <v>12</v>
      </c>
      <c r="D646" s="3" t="s">
        <v>29</v>
      </c>
      <c r="E646" s="3" t="s">
        <v>27</v>
      </c>
      <c r="F646" s="3" t="n">
        <v>2</v>
      </c>
      <c r="G646" s="4" t="n">
        <v>45000</v>
      </c>
      <c r="H646" s="4" t="n">
        <f aca="false">F646*G646</f>
        <v>90000</v>
      </c>
    </row>
    <row r="647" customFormat="false" ht="15" hidden="false" customHeight="false" outlineLevel="0" collapsed="false">
      <c r="A647" s="3" t="s">
        <v>788</v>
      </c>
      <c r="B647" s="3" t="s">
        <v>786</v>
      </c>
      <c r="C647" s="3" t="s">
        <v>8</v>
      </c>
      <c r="D647" s="3" t="s">
        <v>23</v>
      </c>
      <c r="E647" s="3" t="s">
        <v>24</v>
      </c>
      <c r="F647" s="3" t="n">
        <v>3</v>
      </c>
      <c r="G647" s="4" t="n">
        <v>6500</v>
      </c>
      <c r="H647" s="4" t="n">
        <f aca="false">F647*G647</f>
        <v>19500</v>
      </c>
    </row>
    <row r="648" customFormat="false" ht="15" hidden="false" customHeight="false" outlineLevel="0" collapsed="false">
      <c r="A648" s="3" t="s">
        <v>789</v>
      </c>
      <c r="B648" s="3" t="s">
        <v>790</v>
      </c>
      <c r="C648" s="3" t="s">
        <v>8</v>
      </c>
      <c r="D648" s="3" t="s">
        <v>34</v>
      </c>
      <c r="E648" s="3" t="s">
        <v>24</v>
      </c>
      <c r="F648" s="3" t="n">
        <v>2</v>
      </c>
      <c r="G648" s="4" t="n">
        <v>18500</v>
      </c>
      <c r="H648" s="4" t="n">
        <f aca="false">F648*G648</f>
        <v>37000</v>
      </c>
    </row>
    <row r="649" customFormat="false" ht="15" hidden="false" customHeight="false" outlineLevel="0" collapsed="false">
      <c r="A649" s="3" t="s">
        <v>791</v>
      </c>
      <c r="B649" s="3" t="s">
        <v>792</v>
      </c>
      <c r="C649" s="3" t="s">
        <v>6</v>
      </c>
      <c r="D649" s="3" t="s">
        <v>26</v>
      </c>
      <c r="E649" s="3" t="s">
        <v>24</v>
      </c>
      <c r="F649" s="3" t="n">
        <v>5</v>
      </c>
      <c r="G649" s="4" t="n">
        <v>2500</v>
      </c>
      <c r="H649" s="4" t="n">
        <f aca="false">F649*G649</f>
        <v>12500</v>
      </c>
    </row>
    <row r="650" customFormat="false" ht="15" hidden="false" customHeight="false" outlineLevel="0" collapsed="false">
      <c r="A650" s="3" t="s">
        <v>793</v>
      </c>
      <c r="B650" s="3" t="s">
        <v>792</v>
      </c>
      <c r="C650" s="3" t="s">
        <v>6</v>
      </c>
      <c r="D650" s="3" t="s">
        <v>40</v>
      </c>
      <c r="E650" s="3" t="s">
        <v>24</v>
      </c>
      <c r="F650" s="3" t="n">
        <v>2</v>
      </c>
      <c r="G650" s="4" t="n">
        <v>28000</v>
      </c>
      <c r="H650" s="4" t="n">
        <f aca="false">F650*G650</f>
        <v>56000</v>
      </c>
    </row>
    <row r="651" customFormat="false" ht="15" hidden="false" customHeight="false" outlineLevel="0" collapsed="false">
      <c r="A651" s="3" t="s">
        <v>794</v>
      </c>
      <c r="B651" s="3" t="s">
        <v>792</v>
      </c>
      <c r="C651" s="3" t="s">
        <v>10</v>
      </c>
      <c r="D651" s="3" t="s">
        <v>23</v>
      </c>
      <c r="E651" s="3" t="s">
        <v>27</v>
      </c>
      <c r="F651" s="3" t="n">
        <v>5</v>
      </c>
      <c r="G651" s="4" t="n">
        <v>6500</v>
      </c>
      <c r="H651" s="4" t="n">
        <f aca="false">F651*G651</f>
        <v>32500</v>
      </c>
    </row>
    <row r="652" customFormat="false" ht="15" hidden="false" customHeight="false" outlineLevel="0" collapsed="false">
      <c r="A652" s="3" t="s">
        <v>795</v>
      </c>
      <c r="B652" s="3" t="s">
        <v>792</v>
      </c>
      <c r="C652" s="3" t="s">
        <v>6</v>
      </c>
      <c r="D652" s="3" t="s">
        <v>34</v>
      </c>
      <c r="E652" s="3" t="s">
        <v>27</v>
      </c>
      <c r="F652" s="3" t="n">
        <v>2</v>
      </c>
      <c r="G652" s="4" t="n">
        <v>18500</v>
      </c>
      <c r="H652" s="4" t="n">
        <f aca="false">F652*G652</f>
        <v>37000</v>
      </c>
    </row>
    <row r="653" customFormat="false" ht="15" hidden="false" customHeight="false" outlineLevel="0" collapsed="false">
      <c r="A653" s="3" t="s">
        <v>796</v>
      </c>
      <c r="B653" s="3" t="s">
        <v>792</v>
      </c>
      <c r="C653" s="3" t="s">
        <v>6</v>
      </c>
      <c r="D653" s="3" t="s">
        <v>26</v>
      </c>
      <c r="E653" s="3" t="s">
        <v>27</v>
      </c>
      <c r="F653" s="3" t="n">
        <v>5</v>
      </c>
      <c r="G653" s="4" t="n">
        <v>2500</v>
      </c>
      <c r="H653" s="4" t="n">
        <f aca="false">F653*G653</f>
        <v>12500</v>
      </c>
    </row>
    <row r="654" customFormat="false" ht="15" hidden="false" customHeight="false" outlineLevel="0" collapsed="false">
      <c r="A654" s="3" t="s">
        <v>797</v>
      </c>
      <c r="B654" s="3" t="s">
        <v>792</v>
      </c>
      <c r="C654" s="3" t="s">
        <v>6</v>
      </c>
      <c r="D654" s="3" t="s">
        <v>40</v>
      </c>
      <c r="E654" s="3" t="s">
        <v>27</v>
      </c>
      <c r="F654" s="3" t="n">
        <v>2</v>
      </c>
      <c r="G654" s="4" t="n">
        <v>28000</v>
      </c>
      <c r="H654" s="4" t="n">
        <f aca="false">F654*G654</f>
        <v>56000</v>
      </c>
    </row>
    <row r="655" customFormat="false" ht="15" hidden="false" customHeight="false" outlineLevel="0" collapsed="false">
      <c r="A655" s="3" t="s">
        <v>798</v>
      </c>
      <c r="B655" s="3" t="s">
        <v>792</v>
      </c>
      <c r="C655" s="3" t="s">
        <v>8</v>
      </c>
      <c r="D655" s="3" t="s">
        <v>23</v>
      </c>
      <c r="E655" s="3" t="s">
        <v>24</v>
      </c>
      <c r="F655" s="3" t="n">
        <v>5</v>
      </c>
      <c r="G655" s="4" t="n">
        <v>6500</v>
      </c>
      <c r="H655" s="4" t="n">
        <f aca="false">F655*G655</f>
        <v>32500</v>
      </c>
    </row>
    <row r="656" customFormat="false" ht="15" hidden="false" customHeight="false" outlineLevel="0" collapsed="false">
      <c r="A656" s="3" t="s">
        <v>799</v>
      </c>
      <c r="B656" s="3" t="s">
        <v>792</v>
      </c>
      <c r="C656" s="3" t="s">
        <v>6</v>
      </c>
      <c r="D656" s="3" t="s">
        <v>40</v>
      </c>
      <c r="E656" s="3" t="s">
        <v>24</v>
      </c>
      <c r="F656" s="3" t="n">
        <v>2</v>
      </c>
      <c r="G656" s="4" t="n">
        <v>28000</v>
      </c>
      <c r="H656" s="4" t="n">
        <f aca="false">F656*G656</f>
        <v>56000</v>
      </c>
    </row>
    <row r="657" customFormat="false" ht="15" hidden="false" customHeight="false" outlineLevel="0" collapsed="false">
      <c r="A657" s="3" t="s">
        <v>800</v>
      </c>
      <c r="B657" s="3" t="s">
        <v>801</v>
      </c>
      <c r="C657" s="3" t="s">
        <v>10</v>
      </c>
      <c r="D657" s="3" t="s">
        <v>26</v>
      </c>
      <c r="E657" s="3" t="s">
        <v>24</v>
      </c>
      <c r="F657" s="3" t="n">
        <v>2</v>
      </c>
      <c r="G657" s="4" t="n">
        <v>2500</v>
      </c>
      <c r="H657" s="4" t="n">
        <f aca="false">F657*G657</f>
        <v>5000</v>
      </c>
    </row>
    <row r="658" customFormat="false" ht="15" hidden="false" customHeight="false" outlineLevel="0" collapsed="false">
      <c r="A658" s="3" t="s">
        <v>802</v>
      </c>
      <c r="B658" s="3" t="s">
        <v>801</v>
      </c>
      <c r="C658" s="3" t="s">
        <v>11</v>
      </c>
      <c r="D658" s="3" t="s">
        <v>29</v>
      </c>
      <c r="E658" s="3" t="s">
        <v>24</v>
      </c>
      <c r="F658" s="3" t="n">
        <v>1</v>
      </c>
      <c r="G658" s="4" t="n">
        <v>45000</v>
      </c>
      <c r="H658" s="4" t="n">
        <f aca="false">F658*G658</f>
        <v>45000</v>
      </c>
    </row>
    <row r="659" customFormat="false" ht="15" hidden="false" customHeight="false" outlineLevel="0" collapsed="false">
      <c r="A659" s="3" t="s">
        <v>803</v>
      </c>
      <c r="B659" s="3" t="s">
        <v>801</v>
      </c>
      <c r="C659" s="3" t="s">
        <v>6</v>
      </c>
      <c r="D659" s="3" t="s">
        <v>23</v>
      </c>
      <c r="E659" s="3" t="s">
        <v>24</v>
      </c>
      <c r="F659" s="3" t="n">
        <v>4</v>
      </c>
      <c r="G659" s="4" t="n">
        <v>6500</v>
      </c>
      <c r="H659" s="4" t="n">
        <f aca="false">F659*G659</f>
        <v>26000</v>
      </c>
    </row>
    <row r="660" customFormat="false" ht="15" hidden="false" customHeight="false" outlineLevel="0" collapsed="false">
      <c r="A660" s="3" t="s">
        <v>804</v>
      </c>
      <c r="B660" s="3" t="s">
        <v>801</v>
      </c>
      <c r="C660" s="3" t="s">
        <v>12</v>
      </c>
      <c r="D660" s="3" t="s">
        <v>23</v>
      </c>
      <c r="E660" s="3" t="s">
        <v>27</v>
      </c>
      <c r="F660" s="3" t="n">
        <v>2</v>
      </c>
      <c r="G660" s="4" t="n">
        <v>6500</v>
      </c>
      <c r="H660" s="4" t="n">
        <f aca="false">F660*G660</f>
        <v>13000</v>
      </c>
    </row>
    <row r="661" customFormat="false" ht="15" hidden="false" customHeight="false" outlineLevel="0" collapsed="false">
      <c r="A661" s="3" t="s">
        <v>805</v>
      </c>
      <c r="B661" s="3" t="s">
        <v>801</v>
      </c>
      <c r="C661" s="3" t="s">
        <v>6</v>
      </c>
      <c r="D661" s="3" t="s">
        <v>34</v>
      </c>
      <c r="E661" s="3" t="s">
        <v>27</v>
      </c>
      <c r="F661" s="3" t="n">
        <v>2</v>
      </c>
      <c r="G661" s="4" t="n">
        <v>18500</v>
      </c>
      <c r="H661" s="4" t="n">
        <f aca="false">F661*G661</f>
        <v>37000</v>
      </c>
    </row>
    <row r="662" customFormat="false" ht="15" hidden="false" customHeight="false" outlineLevel="0" collapsed="false">
      <c r="A662" s="3" t="s">
        <v>806</v>
      </c>
      <c r="B662" s="3" t="s">
        <v>801</v>
      </c>
      <c r="C662" s="3" t="s">
        <v>10</v>
      </c>
      <c r="D662" s="3" t="s">
        <v>23</v>
      </c>
      <c r="E662" s="3" t="s">
        <v>27</v>
      </c>
      <c r="F662" s="3" t="n">
        <v>4</v>
      </c>
      <c r="G662" s="4" t="n">
        <v>6500</v>
      </c>
      <c r="H662" s="4" t="n">
        <f aca="false">F662*G662</f>
        <v>26000</v>
      </c>
    </row>
    <row r="663" customFormat="false" ht="15" hidden="false" customHeight="false" outlineLevel="0" collapsed="false">
      <c r="A663" s="3" t="s">
        <v>807</v>
      </c>
      <c r="B663" s="3" t="s">
        <v>801</v>
      </c>
      <c r="C663" s="3" t="s">
        <v>8</v>
      </c>
      <c r="D663" s="3" t="s">
        <v>34</v>
      </c>
      <c r="E663" s="3" t="s">
        <v>24</v>
      </c>
      <c r="F663" s="3" t="n">
        <v>1</v>
      </c>
      <c r="G663" s="4" t="n">
        <v>18500</v>
      </c>
      <c r="H663" s="4" t="n">
        <f aca="false">F663*G663</f>
        <v>18500</v>
      </c>
    </row>
    <row r="664" customFormat="false" ht="15" hidden="false" customHeight="false" outlineLevel="0" collapsed="false">
      <c r="A664" s="3" t="s">
        <v>808</v>
      </c>
      <c r="B664" s="3" t="s">
        <v>809</v>
      </c>
      <c r="C664" s="3" t="s">
        <v>10</v>
      </c>
      <c r="D664" s="3" t="s">
        <v>26</v>
      </c>
      <c r="E664" s="3" t="s">
        <v>24</v>
      </c>
      <c r="F664" s="3" t="n">
        <v>2</v>
      </c>
      <c r="G664" s="4" t="n">
        <v>2500</v>
      </c>
      <c r="H664" s="4" t="n">
        <f aca="false">F664*G664</f>
        <v>5000</v>
      </c>
    </row>
    <row r="665" customFormat="false" ht="15" hidden="false" customHeight="false" outlineLevel="0" collapsed="false">
      <c r="A665" s="3" t="s">
        <v>810</v>
      </c>
      <c r="B665" s="3" t="s">
        <v>809</v>
      </c>
      <c r="C665" s="3" t="s">
        <v>12</v>
      </c>
      <c r="D665" s="3" t="s">
        <v>23</v>
      </c>
      <c r="E665" s="3" t="s">
        <v>24</v>
      </c>
      <c r="F665" s="3" t="n">
        <v>1</v>
      </c>
      <c r="G665" s="4" t="n">
        <v>6500</v>
      </c>
      <c r="H665" s="4" t="n">
        <f aca="false">F665*G665</f>
        <v>6500</v>
      </c>
    </row>
    <row r="666" customFormat="false" ht="15" hidden="false" customHeight="false" outlineLevel="0" collapsed="false">
      <c r="A666" s="3" t="s">
        <v>811</v>
      </c>
      <c r="B666" s="3" t="s">
        <v>809</v>
      </c>
      <c r="C666" s="3" t="s">
        <v>11</v>
      </c>
      <c r="D666" s="3" t="s">
        <v>23</v>
      </c>
      <c r="E666" s="3" t="s">
        <v>27</v>
      </c>
      <c r="F666" s="3" t="n">
        <v>2</v>
      </c>
      <c r="G666" s="4" t="n">
        <v>6500</v>
      </c>
      <c r="H666" s="4" t="n">
        <f aca="false">F666*G666</f>
        <v>13000</v>
      </c>
    </row>
    <row r="667" customFormat="false" ht="15" hidden="false" customHeight="false" outlineLevel="0" collapsed="false">
      <c r="A667" s="3" t="s">
        <v>812</v>
      </c>
      <c r="B667" s="3" t="s">
        <v>809</v>
      </c>
      <c r="C667" s="3" t="s">
        <v>6</v>
      </c>
      <c r="D667" s="3" t="s">
        <v>31</v>
      </c>
      <c r="E667" s="3" t="s">
        <v>24</v>
      </c>
      <c r="F667" s="3" t="n">
        <v>1</v>
      </c>
      <c r="G667" s="4" t="n">
        <v>62000</v>
      </c>
      <c r="H667" s="4" t="n">
        <f aca="false">F667*G667</f>
        <v>62000</v>
      </c>
    </row>
    <row r="668" customFormat="false" ht="15" hidden="false" customHeight="false" outlineLevel="0" collapsed="false">
      <c r="A668" s="3" t="s">
        <v>813</v>
      </c>
      <c r="B668" s="3" t="s">
        <v>814</v>
      </c>
      <c r="C668" s="3" t="s">
        <v>6</v>
      </c>
      <c r="D668" s="3" t="s">
        <v>23</v>
      </c>
      <c r="E668" s="3" t="s">
        <v>27</v>
      </c>
      <c r="F668" s="3" t="n">
        <v>2</v>
      </c>
      <c r="G668" s="4" t="n">
        <v>6500</v>
      </c>
      <c r="H668" s="4" t="n">
        <f aca="false">F668*G668</f>
        <v>13000</v>
      </c>
    </row>
    <row r="669" customFormat="false" ht="15" hidden="false" customHeight="false" outlineLevel="0" collapsed="false">
      <c r="A669" s="3" t="s">
        <v>815</v>
      </c>
      <c r="B669" s="3" t="s">
        <v>814</v>
      </c>
      <c r="C669" s="3" t="s">
        <v>6</v>
      </c>
      <c r="D669" s="3" t="s">
        <v>29</v>
      </c>
      <c r="E669" s="3" t="s">
        <v>27</v>
      </c>
      <c r="F669" s="3" t="n">
        <v>2</v>
      </c>
      <c r="G669" s="4" t="n">
        <v>45000</v>
      </c>
      <c r="H669" s="4" t="n">
        <f aca="false">F669*G669</f>
        <v>90000</v>
      </c>
    </row>
    <row r="670" customFormat="false" ht="15" hidden="false" customHeight="false" outlineLevel="0" collapsed="false">
      <c r="A670" s="3" t="s">
        <v>816</v>
      </c>
      <c r="B670" s="3" t="s">
        <v>814</v>
      </c>
      <c r="C670" s="3" t="s">
        <v>11</v>
      </c>
      <c r="D670" s="3" t="s">
        <v>34</v>
      </c>
      <c r="E670" s="3" t="s">
        <v>24</v>
      </c>
      <c r="F670" s="3" t="n">
        <v>1</v>
      </c>
      <c r="G670" s="4" t="n">
        <v>18500</v>
      </c>
      <c r="H670" s="4" t="n">
        <f aca="false">F670*G670</f>
        <v>18500</v>
      </c>
    </row>
    <row r="671" customFormat="false" ht="15" hidden="false" customHeight="false" outlineLevel="0" collapsed="false">
      <c r="A671" s="3" t="s">
        <v>817</v>
      </c>
      <c r="B671" s="3" t="s">
        <v>814</v>
      </c>
      <c r="C671" s="3" t="s">
        <v>12</v>
      </c>
      <c r="D671" s="3" t="s">
        <v>29</v>
      </c>
      <c r="E671" s="3" t="s">
        <v>24</v>
      </c>
      <c r="F671" s="3" t="n">
        <v>1</v>
      </c>
      <c r="G671" s="4" t="n">
        <v>45000</v>
      </c>
      <c r="H671" s="4" t="n">
        <f aca="false">F671*G671</f>
        <v>45000</v>
      </c>
    </row>
    <row r="672" customFormat="false" ht="15" hidden="false" customHeight="false" outlineLevel="0" collapsed="false">
      <c r="A672" s="3" t="s">
        <v>818</v>
      </c>
      <c r="B672" s="3" t="s">
        <v>814</v>
      </c>
      <c r="C672" s="3" t="s">
        <v>11</v>
      </c>
      <c r="D672" s="3" t="s">
        <v>34</v>
      </c>
      <c r="E672" s="3" t="s">
        <v>24</v>
      </c>
      <c r="F672" s="3" t="n">
        <v>2</v>
      </c>
      <c r="G672" s="4" t="n">
        <v>18500</v>
      </c>
      <c r="H672" s="4" t="n">
        <f aca="false">F672*G672</f>
        <v>37000</v>
      </c>
    </row>
    <row r="673" customFormat="false" ht="15" hidden="false" customHeight="false" outlineLevel="0" collapsed="false">
      <c r="A673" s="3" t="s">
        <v>819</v>
      </c>
      <c r="B673" s="3" t="s">
        <v>814</v>
      </c>
      <c r="C673" s="3" t="s">
        <v>8</v>
      </c>
      <c r="D673" s="3" t="s">
        <v>23</v>
      </c>
      <c r="E673" s="3" t="s">
        <v>24</v>
      </c>
      <c r="F673" s="3" t="n">
        <v>5</v>
      </c>
      <c r="G673" s="4" t="n">
        <v>6500</v>
      </c>
      <c r="H673" s="4" t="n">
        <f aca="false">F673*G673</f>
        <v>32500</v>
      </c>
    </row>
    <row r="674" customFormat="false" ht="15" hidden="false" customHeight="false" outlineLevel="0" collapsed="false">
      <c r="A674" s="3" t="s">
        <v>820</v>
      </c>
      <c r="B674" s="3" t="s">
        <v>814</v>
      </c>
      <c r="C674" s="3" t="s">
        <v>6</v>
      </c>
      <c r="D674" s="3" t="s">
        <v>34</v>
      </c>
      <c r="E674" s="3" t="s">
        <v>27</v>
      </c>
      <c r="F674" s="3" t="n">
        <v>2</v>
      </c>
      <c r="G674" s="4" t="n">
        <v>18500</v>
      </c>
      <c r="H674" s="4" t="n">
        <f aca="false">F674*G674</f>
        <v>37000</v>
      </c>
    </row>
    <row r="675" customFormat="false" ht="15" hidden="false" customHeight="false" outlineLevel="0" collapsed="false">
      <c r="A675" s="3" t="s">
        <v>821</v>
      </c>
      <c r="B675" s="3" t="s">
        <v>822</v>
      </c>
      <c r="C675" s="3" t="s">
        <v>6</v>
      </c>
      <c r="D675" s="3" t="s">
        <v>26</v>
      </c>
      <c r="E675" s="3" t="s">
        <v>24</v>
      </c>
      <c r="F675" s="3" t="n">
        <v>4</v>
      </c>
      <c r="G675" s="4" t="n">
        <v>2500</v>
      </c>
      <c r="H675" s="4" t="n">
        <f aca="false">F675*G675</f>
        <v>10000</v>
      </c>
    </row>
    <row r="676" customFormat="false" ht="15" hidden="false" customHeight="false" outlineLevel="0" collapsed="false">
      <c r="A676" s="3" t="s">
        <v>823</v>
      </c>
      <c r="B676" s="3" t="s">
        <v>822</v>
      </c>
      <c r="C676" s="3" t="s">
        <v>8</v>
      </c>
      <c r="D676" s="3" t="s">
        <v>26</v>
      </c>
      <c r="E676" s="3" t="s">
        <v>24</v>
      </c>
      <c r="F676" s="3" t="n">
        <v>2</v>
      </c>
      <c r="G676" s="4" t="n">
        <v>2500</v>
      </c>
      <c r="H676" s="4" t="n">
        <f aca="false">F676*G676</f>
        <v>5000</v>
      </c>
    </row>
    <row r="677" customFormat="false" ht="15" hidden="false" customHeight="false" outlineLevel="0" collapsed="false">
      <c r="A677" s="3" t="s">
        <v>824</v>
      </c>
      <c r="B677" s="3" t="s">
        <v>822</v>
      </c>
      <c r="C677" s="3" t="s">
        <v>11</v>
      </c>
      <c r="D677" s="3" t="s">
        <v>26</v>
      </c>
      <c r="E677" s="3" t="s">
        <v>27</v>
      </c>
      <c r="F677" s="3" t="n">
        <v>4</v>
      </c>
      <c r="G677" s="4" t="n">
        <v>2500</v>
      </c>
      <c r="H677" s="4" t="n">
        <f aca="false">F677*G677</f>
        <v>10000</v>
      </c>
    </row>
    <row r="678" customFormat="false" ht="15" hidden="false" customHeight="false" outlineLevel="0" collapsed="false">
      <c r="A678" s="3" t="s">
        <v>825</v>
      </c>
      <c r="B678" s="3" t="s">
        <v>822</v>
      </c>
      <c r="C678" s="3" t="s">
        <v>8</v>
      </c>
      <c r="D678" s="3" t="s">
        <v>40</v>
      </c>
      <c r="E678" s="3" t="s">
        <v>27</v>
      </c>
      <c r="F678" s="3" t="n">
        <v>2</v>
      </c>
      <c r="G678" s="4" t="n">
        <v>28000</v>
      </c>
      <c r="H678" s="4" t="n">
        <f aca="false">F678*G678</f>
        <v>56000</v>
      </c>
    </row>
    <row r="679" customFormat="false" ht="15" hidden="false" customHeight="false" outlineLevel="0" collapsed="false">
      <c r="A679" s="3" t="s">
        <v>826</v>
      </c>
      <c r="B679" s="3" t="s">
        <v>822</v>
      </c>
      <c r="C679" s="3" t="s">
        <v>10</v>
      </c>
      <c r="D679" s="3" t="s">
        <v>34</v>
      </c>
      <c r="E679" s="3" t="s">
        <v>24</v>
      </c>
      <c r="F679" s="3" t="n">
        <v>1</v>
      </c>
      <c r="G679" s="4" t="n">
        <v>18500</v>
      </c>
      <c r="H679" s="4" t="n">
        <f aca="false">F679*G679</f>
        <v>18500</v>
      </c>
    </row>
    <row r="680" customFormat="false" ht="15" hidden="false" customHeight="false" outlineLevel="0" collapsed="false">
      <c r="A680" s="3" t="s">
        <v>827</v>
      </c>
      <c r="B680" s="3" t="s">
        <v>822</v>
      </c>
      <c r="C680" s="3" t="s">
        <v>11</v>
      </c>
      <c r="D680" s="3" t="s">
        <v>23</v>
      </c>
      <c r="E680" s="3" t="s">
        <v>27</v>
      </c>
      <c r="F680" s="3" t="n">
        <v>2</v>
      </c>
      <c r="G680" s="4" t="n">
        <v>6500</v>
      </c>
      <c r="H680" s="4" t="n">
        <f aca="false">F680*G680</f>
        <v>13000</v>
      </c>
    </row>
    <row r="681" customFormat="false" ht="15" hidden="false" customHeight="false" outlineLevel="0" collapsed="false">
      <c r="A681" s="3" t="s">
        <v>828</v>
      </c>
      <c r="B681" s="3" t="s">
        <v>822</v>
      </c>
      <c r="C681" s="3" t="s">
        <v>6</v>
      </c>
      <c r="D681" s="3" t="s">
        <v>26</v>
      </c>
      <c r="E681" s="3" t="s">
        <v>27</v>
      </c>
      <c r="F681" s="3" t="n">
        <v>4</v>
      </c>
      <c r="G681" s="4" t="n">
        <v>2500</v>
      </c>
      <c r="H681" s="4" t="n">
        <f aca="false">F681*G681</f>
        <v>10000</v>
      </c>
    </row>
    <row r="682" customFormat="false" ht="15" hidden="false" customHeight="false" outlineLevel="0" collapsed="false">
      <c r="A682" s="3" t="s">
        <v>829</v>
      </c>
      <c r="B682" s="3" t="s">
        <v>822</v>
      </c>
      <c r="C682" s="3" t="s">
        <v>6</v>
      </c>
      <c r="D682" s="3" t="s">
        <v>23</v>
      </c>
      <c r="E682" s="3" t="s">
        <v>27</v>
      </c>
      <c r="F682" s="3" t="n">
        <v>4</v>
      </c>
      <c r="G682" s="4" t="n">
        <v>6500</v>
      </c>
      <c r="H682" s="4" t="n">
        <f aca="false">F682*G682</f>
        <v>26000</v>
      </c>
    </row>
    <row r="683" customFormat="false" ht="15" hidden="false" customHeight="false" outlineLevel="0" collapsed="false">
      <c r="A683" s="3" t="s">
        <v>830</v>
      </c>
      <c r="B683" s="3" t="s">
        <v>831</v>
      </c>
      <c r="C683" s="3" t="s">
        <v>10</v>
      </c>
      <c r="D683" s="3" t="s">
        <v>34</v>
      </c>
      <c r="E683" s="3" t="s">
        <v>24</v>
      </c>
      <c r="F683" s="3" t="n">
        <v>2</v>
      </c>
      <c r="G683" s="4" t="n">
        <v>18500</v>
      </c>
      <c r="H683" s="4" t="n">
        <f aca="false">F683*G683</f>
        <v>37000</v>
      </c>
    </row>
    <row r="684" customFormat="false" ht="15" hidden="false" customHeight="false" outlineLevel="0" collapsed="false">
      <c r="A684" s="3" t="s">
        <v>832</v>
      </c>
      <c r="B684" s="3" t="s">
        <v>831</v>
      </c>
      <c r="C684" s="3" t="s">
        <v>6</v>
      </c>
      <c r="D684" s="3" t="s">
        <v>40</v>
      </c>
      <c r="E684" s="3" t="s">
        <v>24</v>
      </c>
      <c r="F684" s="3" t="n">
        <v>1</v>
      </c>
      <c r="G684" s="4" t="n">
        <v>28000</v>
      </c>
      <c r="H684" s="4" t="n">
        <f aca="false">F684*G684</f>
        <v>28000</v>
      </c>
    </row>
    <row r="685" customFormat="false" ht="15" hidden="false" customHeight="false" outlineLevel="0" collapsed="false">
      <c r="A685" s="3" t="s">
        <v>833</v>
      </c>
      <c r="B685" s="3" t="s">
        <v>831</v>
      </c>
      <c r="C685" s="3" t="s">
        <v>12</v>
      </c>
      <c r="D685" s="3" t="s">
        <v>34</v>
      </c>
      <c r="E685" s="3" t="s">
        <v>27</v>
      </c>
      <c r="F685" s="3" t="n">
        <v>1</v>
      </c>
      <c r="G685" s="4" t="n">
        <v>18500</v>
      </c>
      <c r="H685" s="4" t="n">
        <f aca="false">F685*G685</f>
        <v>18500</v>
      </c>
    </row>
    <row r="686" customFormat="false" ht="15" hidden="false" customHeight="false" outlineLevel="0" collapsed="false">
      <c r="A686" s="3" t="s">
        <v>834</v>
      </c>
      <c r="B686" s="3" t="s">
        <v>831</v>
      </c>
      <c r="C686" s="3" t="s">
        <v>8</v>
      </c>
      <c r="D686" s="3" t="s">
        <v>23</v>
      </c>
      <c r="E686" s="3" t="s">
        <v>24</v>
      </c>
      <c r="F686" s="3" t="n">
        <v>4</v>
      </c>
      <c r="G686" s="4" t="n">
        <v>6500</v>
      </c>
      <c r="H686" s="4" t="n">
        <f aca="false">F686*G686</f>
        <v>26000</v>
      </c>
    </row>
    <row r="687" customFormat="false" ht="15" hidden="false" customHeight="false" outlineLevel="0" collapsed="false">
      <c r="A687" s="3" t="s">
        <v>835</v>
      </c>
      <c r="B687" s="3" t="s">
        <v>831</v>
      </c>
      <c r="C687" s="3" t="s">
        <v>6</v>
      </c>
      <c r="D687" s="3" t="s">
        <v>40</v>
      </c>
      <c r="E687" s="3" t="s">
        <v>24</v>
      </c>
      <c r="F687" s="3" t="n">
        <v>1</v>
      </c>
      <c r="G687" s="4" t="n">
        <v>28000</v>
      </c>
      <c r="H687" s="4" t="n">
        <f aca="false">F687*G687</f>
        <v>28000</v>
      </c>
    </row>
    <row r="688" customFormat="false" ht="15" hidden="false" customHeight="false" outlineLevel="0" collapsed="false">
      <c r="A688" s="3" t="s">
        <v>836</v>
      </c>
      <c r="B688" s="3" t="s">
        <v>831</v>
      </c>
      <c r="C688" s="3" t="s">
        <v>11</v>
      </c>
      <c r="D688" s="3" t="s">
        <v>26</v>
      </c>
      <c r="E688" s="3" t="s">
        <v>24</v>
      </c>
      <c r="F688" s="3" t="n">
        <v>1</v>
      </c>
      <c r="G688" s="4" t="n">
        <v>2500</v>
      </c>
      <c r="H688" s="4" t="n">
        <f aca="false">F688*G688</f>
        <v>2500</v>
      </c>
    </row>
    <row r="689" customFormat="false" ht="15" hidden="false" customHeight="false" outlineLevel="0" collapsed="false">
      <c r="A689" s="3" t="s">
        <v>837</v>
      </c>
      <c r="B689" s="3" t="s">
        <v>838</v>
      </c>
      <c r="C689" s="3" t="s">
        <v>6</v>
      </c>
      <c r="D689" s="3" t="s">
        <v>40</v>
      </c>
      <c r="E689" s="3" t="s">
        <v>27</v>
      </c>
      <c r="F689" s="3" t="n">
        <v>1</v>
      </c>
      <c r="G689" s="4" t="n">
        <v>28000</v>
      </c>
      <c r="H689" s="4" t="n">
        <f aca="false">F689*G689</f>
        <v>28000</v>
      </c>
    </row>
    <row r="690" customFormat="false" ht="15" hidden="false" customHeight="false" outlineLevel="0" collapsed="false">
      <c r="A690" s="3" t="s">
        <v>839</v>
      </c>
      <c r="B690" s="3" t="s">
        <v>838</v>
      </c>
      <c r="C690" s="3" t="s">
        <v>11</v>
      </c>
      <c r="D690" s="3" t="s">
        <v>26</v>
      </c>
      <c r="E690" s="3" t="s">
        <v>24</v>
      </c>
      <c r="F690" s="3" t="n">
        <v>3</v>
      </c>
      <c r="G690" s="4" t="n">
        <v>2500</v>
      </c>
      <c r="H690" s="4" t="n">
        <f aca="false">F690*G690</f>
        <v>7500</v>
      </c>
    </row>
    <row r="691" customFormat="false" ht="15" hidden="false" customHeight="false" outlineLevel="0" collapsed="false">
      <c r="A691" s="3" t="s">
        <v>840</v>
      </c>
      <c r="B691" s="3" t="s">
        <v>838</v>
      </c>
      <c r="C691" s="3" t="s">
        <v>6</v>
      </c>
      <c r="D691" s="3" t="s">
        <v>26</v>
      </c>
      <c r="E691" s="3" t="s">
        <v>24</v>
      </c>
      <c r="F691" s="3" t="n">
        <v>5</v>
      </c>
      <c r="G691" s="4" t="n">
        <v>2500</v>
      </c>
      <c r="H691" s="4" t="n">
        <f aca="false">F691*G691</f>
        <v>12500</v>
      </c>
    </row>
    <row r="692" customFormat="false" ht="15" hidden="false" customHeight="false" outlineLevel="0" collapsed="false">
      <c r="A692" s="3" t="s">
        <v>841</v>
      </c>
      <c r="B692" s="3" t="s">
        <v>838</v>
      </c>
      <c r="C692" s="3" t="s">
        <v>10</v>
      </c>
      <c r="D692" s="3" t="s">
        <v>26</v>
      </c>
      <c r="E692" s="3" t="s">
        <v>24</v>
      </c>
      <c r="F692" s="3" t="n">
        <v>2</v>
      </c>
      <c r="G692" s="4" t="n">
        <v>2500</v>
      </c>
      <c r="H692" s="4" t="n">
        <f aca="false">F692*G692</f>
        <v>5000</v>
      </c>
    </row>
    <row r="693" customFormat="false" ht="15" hidden="false" customHeight="false" outlineLevel="0" collapsed="false">
      <c r="A693" s="3" t="s">
        <v>842</v>
      </c>
      <c r="B693" s="3" t="s">
        <v>843</v>
      </c>
      <c r="C693" s="3" t="s">
        <v>6</v>
      </c>
      <c r="D693" s="3" t="s">
        <v>23</v>
      </c>
      <c r="E693" s="3" t="s">
        <v>24</v>
      </c>
      <c r="F693" s="3" t="n">
        <v>3</v>
      </c>
      <c r="G693" s="4" t="n">
        <v>6500</v>
      </c>
      <c r="H693" s="4" t="n">
        <f aca="false">F693*G693</f>
        <v>19500</v>
      </c>
    </row>
    <row r="694" customFormat="false" ht="15" hidden="false" customHeight="false" outlineLevel="0" collapsed="false">
      <c r="A694" s="3" t="s">
        <v>844</v>
      </c>
      <c r="B694" s="3" t="s">
        <v>843</v>
      </c>
      <c r="C694" s="3" t="s">
        <v>12</v>
      </c>
      <c r="D694" s="3" t="s">
        <v>34</v>
      </c>
      <c r="E694" s="3" t="s">
        <v>27</v>
      </c>
      <c r="F694" s="3" t="n">
        <v>1</v>
      </c>
      <c r="G694" s="4" t="n">
        <v>18500</v>
      </c>
      <c r="H694" s="4" t="n">
        <f aca="false">F694*G694</f>
        <v>18500</v>
      </c>
    </row>
    <row r="695" customFormat="false" ht="15" hidden="false" customHeight="false" outlineLevel="0" collapsed="false">
      <c r="A695" s="3" t="s">
        <v>845</v>
      </c>
      <c r="B695" s="3" t="s">
        <v>843</v>
      </c>
      <c r="C695" s="3" t="s">
        <v>6</v>
      </c>
      <c r="D695" s="3" t="s">
        <v>31</v>
      </c>
      <c r="E695" s="3" t="s">
        <v>24</v>
      </c>
      <c r="F695" s="3" t="n">
        <v>1</v>
      </c>
      <c r="G695" s="4" t="n">
        <v>62000</v>
      </c>
      <c r="H695" s="4" t="n">
        <f aca="false">F695*G695</f>
        <v>62000</v>
      </c>
    </row>
    <row r="696" customFormat="false" ht="15" hidden="false" customHeight="false" outlineLevel="0" collapsed="false">
      <c r="A696" s="3" t="s">
        <v>846</v>
      </c>
      <c r="B696" s="3" t="s">
        <v>843</v>
      </c>
      <c r="C696" s="3" t="s">
        <v>11</v>
      </c>
      <c r="D696" s="3" t="s">
        <v>26</v>
      </c>
      <c r="E696" s="3" t="s">
        <v>27</v>
      </c>
      <c r="F696" s="3" t="n">
        <v>3</v>
      </c>
      <c r="G696" s="4" t="n">
        <v>2500</v>
      </c>
      <c r="H696" s="4" t="n">
        <f aca="false">F696*G696</f>
        <v>7500</v>
      </c>
    </row>
    <row r="697" customFormat="false" ht="15" hidden="false" customHeight="false" outlineLevel="0" collapsed="false">
      <c r="A697" s="3" t="s">
        <v>847</v>
      </c>
      <c r="B697" s="3" t="s">
        <v>848</v>
      </c>
      <c r="C697" s="3" t="s">
        <v>6</v>
      </c>
      <c r="D697" s="3" t="s">
        <v>29</v>
      </c>
      <c r="E697" s="3" t="s">
        <v>24</v>
      </c>
      <c r="F697" s="3" t="n">
        <v>1</v>
      </c>
      <c r="G697" s="4" t="n">
        <v>45000</v>
      </c>
      <c r="H697" s="4" t="n">
        <f aca="false">F697*G697</f>
        <v>45000</v>
      </c>
    </row>
    <row r="698" customFormat="false" ht="15" hidden="false" customHeight="false" outlineLevel="0" collapsed="false">
      <c r="A698" s="3" t="s">
        <v>849</v>
      </c>
      <c r="B698" s="3" t="s">
        <v>848</v>
      </c>
      <c r="C698" s="3" t="s">
        <v>8</v>
      </c>
      <c r="D698" s="3" t="s">
        <v>40</v>
      </c>
      <c r="E698" s="3" t="s">
        <v>24</v>
      </c>
      <c r="F698" s="3" t="n">
        <v>1</v>
      </c>
      <c r="G698" s="4" t="n">
        <v>28000</v>
      </c>
      <c r="H698" s="4" t="n">
        <f aca="false">F698*G698</f>
        <v>28000</v>
      </c>
    </row>
    <row r="699" customFormat="false" ht="15" hidden="false" customHeight="false" outlineLevel="0" collapsed="false">
      <c r="A699" s="3" t="s">
        <v>850</v>
      </c>
      <c r="B699" s="3" t="s">
        <v>848</v>
      </c>
      <c r="C699" s="3" t="s">
        <v>6</v>
      </c>
      <c r="D699" s="3" t="s">
        <v>26</v>
      </c>
      <c r="E699" s="3" t="s">
        <v>24</v>
      </c>
      <c r="F699" s="3" t="n">
        <v>1</v>
      </c>
      <c r="G699" s="4" t="n">
        <v>2500</v>
      </c>
      <c r="H699" s="4" t="n">
        <f aca="false">F699*G699</f>
        <v>2500</v>
      </c>
    </row>
    <row r="700" customFormat="false" ht="15" hidden="false" customHeight="false" outlineLevel="0" collapsed="false">
      <c r="A700" s="3" t="s">
        <v>851</v>
      </c>
      <c r="B700" s="3" t="s">
        <v>852</v>
      </c>
      <c r="C700" s="3" t="s">
        <v>6</v>
      </c>
      <c r="D700" s="3" t="s">
        <v>34</v>
      </c>
      <c r="E700" s="3" t="s">
        <v>27</v>
      </c>
      <c r="F700" s="3" t="n">
        <v>1</v>
      </c>
      <c r="G700" s="4" t="n">
        <v>18500</v>
      </c>
      <c r="H700" s="4" t="n">
        <f aca="false">F700*G700</f>
        <v>18500</v>
      </c>
    </row>
    <row r="701" customFormat="false" ht="15" hidden="false" customHeight="false" outlineLevel="0" collapsed="false">
      <c r="A701" s="3" t="s">
        <v>853</v>
      </c>
      <c r="B701" s="3" t="s">
        <v>852</v>
      </c>
      <c r="C701" s="3" t="s">
        <v>6</v>
      </c>
      <c r="D701" s="3" t="s">
        <v>26</v>
      </c>
      <c r="E701" s="3" t="s">
        <v>27</v>
      </c>
      <c r="F701" s="3" t="n">
        <v>5</v>
      </c>
      <c r="G701" s="4" t="n">
        <v>2500</v>
      </c>
      <c r="H701" s="4" t="n">
        <f aca="false">F701*G701</f>
        <v>12500</v>
      </c>
    </row>
    <row r="702" customFormat="false" ht="15" hidden="false" customHeight="false" outlineLevel="0" collapsed="false">
      <c r="A702" s="3" t="s">
        <v>854</v>
      </c>
      <c r="B702" s="3" t="s">
        <v>852</v>
      </c>
      <c r="C702" s="3" t="s">
        <v>6</v>
      </c>
      <c r="D702" s="3" t="s">
        <v>34</v>
      </c>
      <c r="E702" s="3" t="s">
        <v>24</v>
      </c>
      <c r="F702" s="3" t="n">
        <v>2</v>
      </c>
      <c r="G702" s="4" t="n">
        <v>18500</v>
      </c>
      <c r="H702" s="4" t="n">
        <f aca="false">F702*G702</f>
        <v>37000</v>
      </c>
    </row>
    <row r="703" customFormat="false" ht="15" hidden="false" customHeight="false" outlineLevel="0" collapsed="false">
      <c r="A703" s="3" t="s">
        <v>855</v>
      </c>
      <c r="B703" s="3" t="s">
        <v>852</v>
      </c>
      <c r="C703" s="3" t="s">
        <v>10</v>
      </c>
      <c r="D703" s="3" t="s">
        <v>34</v>
      </c>
      <c r="E703" s="3" t="s">
        <v>27</v>
      </c>
      <c r="F703" s="3" t="n">
        <v>1</v>
      </c>
      <c r="G703" s="4" t="n">
        <v>18500</v>
      </c>
      <c r="H703" s="4" t="n">
        <f aca="false">F703*G703</f>
        <v>18500</v>
      </c>
    </row>
    <row r="704" customFormat="false" ht="15" hidden="false" customHeight="false" outlineLevel="0" collapsed="false">
      <c r="A704" s="3" t="s">
        <v>856</v>
      </c>
      <c r="B704" s="3" t="s">
        <v>852</v>
      </c>
      <c r="C704" s="3" t="s">
        <v>6</v>
      </c>
      <c r="D704" s="3" t="s">
        <v>26</v>
      </c>
      <c r="E704" s="3" t="s">
        <v>27</v>
      </c>
      <c r="F704" s="3" t="n">
        <v>5</v>
      </c>
      <c r="G704" s="4" t="n">
        <v>2500</v>
      </c>
      <c r="H704" s="4" t="n">
        <f aca="false">F704*G704</f>
        <v>12500</v>
      </c>
    </row>
    <row r="705" customFormat="false" ht="15" hidden="false" customHeight="false" outlineLevel="0" collapsed="false">
      <c r="A705" s="3" t="s">
        <v>857</v>
      </c>
      <c r="B705" s="3" t="s">
        <v>858</v>
      </c>
      <c r="C705" s="3" t="s">
        <v>6</v>
      </c>
      <c r="D705" s="3" t="s">
        <v>31</v>
      </c>
      <c r="E705" s="3" t="s">
        <v>24</v>
      </c>
      <c r="F705" s="3" t="n">
        <v>2</v>
      </c>
      <c r="G705" s="4" t="n">
        <v>62000</v>
      </c>
      <c r="H705" s="4" t="n">
        <f aca="false">F705*G705</f>
        <v>124000</v>
      </c>
    </row>
    <row r="706" customFormat="false" ht="15" hidden="false" customHeight="false" outlineLevel="0" collapsed="false">
      <c r="A706" s="3" t="s">
        <v>859</v>
      </c>
      <c r="B706" s="3" t="s">
        <v>858</v>
      </c>
      <c r="C706" s="3" t="s">
        <v>8</v>
      </c>
      <c r="D706" s="3" t="s">
        <v>23</v>
      </c>
      <c r="E706" s="3" t="s">
        <v>27</v>
      </c>
      <c r="F706" s="3" t="n">
        <v>4</v>
      </c>
      <c r="G706" s="4" t="n">
        <v>6500</v>
      </c>
      <c r="H706" s="4" t="n">
        <f aca="false">F706*G706</f>
        <v>26000</v>
      </c>
    </row>
    <row r="707" customFormat="false" ht="15" hidden="false" customHeight="false" outlineLevel="0" collapsed="false">
      <c r="A707" s="3" t="s">
        <v>860</v>
      </c>
      <c r="B707" s="3" t="s">
        <v>858</v>
      </c>
      <c r="C707" s="3" t="s">
        <v>8</v>
      </c>
      <c r="D707" s="3" t="s">
        <v>23</v>
      </c>
      <c r="E707" s="3" t="s">
        <v>27</v>
      </c>
      <c r="F707" s="3" t="n">
        <v>3</v>
      </c>
      <c r="G707" s="4" t="n">
        <v>6500</v>
      </c>
      <c r="H707" s="4" t="n">
        <f aca="false">F707*G707</f>
        <v>19500</v>
      </c>
    </row>
    <row r="708" customFormat="false" ht="15" hidden="false" customHeight="false" outlineLevel="0" collapsed="false">
      <c r="A708" s="3" t="s">
        <v>861</v>
      </c>
      <c r="B708" s="3" t="s">
        <v>862</v>
      </c>
      <c r="C708" s="3" t="s">
        <v>11</v>
      </c>
      <c r="D708" s="3" t="s">
        <v>31</v>
      </c>
      <c r="E708" s="3" t="s">
        <v>27</v>
      </c>
      <c r="F708" s="3" t="n">
        <v>2</v>
      </c>
      <c r="G708" s="4" t="n">
        <v>62000</v>
      </c>
      <c r="H708" s="4" t="n">
        <f aca="false">F708*G708</f>
        <v>124000</v>
      </c>
    </row>
    <row r="709" customFormat="false" ht="15" hidden="false" customHeight="false" outlineLevel="0" collapsed="false">
      <c r="A709" s="3" t="s">
        <v>863</v>
      </c>
      <c r="B709" s="3" t="s">
        <v>862</v>
      </c>
      <c r="C709" s="3" t="s">
        <v>6</v>
      </c>
      <c r="D709" s="3" t="s">
        <v>23</v>
      </c>
      <c r="E709" s="3" t="s">
        <v>27</v>
      </c>
      <c r="F709" s="3" t="n">
        <v>3</v>
      </c>
      <c r="G709" s="4" t="n">
        <v>6500</v>
      </c>
      <c r="H709" s="4" t="n">
        <f aca="false">F709*G709</f>
        <v>19500</v>
      </c>
    </row>
    <row r="710" customFormat="false" ht="15" hidden="false" customHeight="false" outlineLevel="0" collapsed="false">
      <c r="A710" s="3" t="s">
        <v>864</v>
      </c>
      <c r="B710" s="3" t="s">
        <v>862</v>
      </c>
      <c r="C710" s="3" t="s">
        <v>6</v>
      </c>
      <c r="D710" s="3" t="s">
        <v>34</v>
      </c>
      <c r="E710" s="3" t="s">
        <v>24</v>
      </c>
      <c r="F710" s="3" t="n">
        <v>1</v>
      </c>
      <c r="G710" s="4" t="n">
        <v>18500</v>
      </c>
      <c r="H710" s="4" t="n">
        <f aca="false">F710*G710</f>
        <v>18500</v>
      </c>
    </row>
    <row r="711" customFormat="false" ht="15" hidden="false" customHeight="false" outlineLevel="0" collapsed="false">
      <c r="A711" s="3" t="s">
        <v>865</v>
      </c>
      <c r="B711" s="3" t="s">
        <v>862</v>
      </c>
      <c r="C711" s="3" t="s">
        <v>6</v>
      </c>
      <c r="D711" s="3" t="s">
        <v>34</v>
      </c>
      <c r="E711" s="3" t="s">
        <v>27</v>
      </c>
      <c r="F711" s="3" t="n">
        <v>2</v>
      </c>
      <c r="G711" s="4" t="n">
        <v>18500</v>
      </c>
      <c r="H711" s="4" t="n">
        <f aca="false">F711*G711</f>
        <v>37000</v>
      </c>
    </row>
    <row r="712" customFormat="false" ht="15" hidden="false" customHeight="false" outlineLevel="0" collapsed="false">
      <c r="A712" s="3" t="s">
        <v>866</v>
      </c>
      <c r="B712" s="3" t="s">
        <v>862</v>
      </c>
      <c r="C712" s="3" t="s">
        <v>8</v>
      </c>
      <c r="D712" s="3" t="s">
        <v>31</v>
      </c>
      <c r="E712" s="3" t="s">
        <v>24</v>
      </c>
      <c r="F712" s="3" t="n">
        <v>1</v>
      </c>
      <c r="G712" s="4" t="n">
        <v>62000</v>
      </c>
      <c r="H712" s="4" t="n">
        <f aca="false">F712*G712</f>
        <v>62000</v>
      </c>
    </row>
    <row r="713" customFormat="false" ht="15" hidden="false" customHeight="false" outlineLevel="0" collapsed="false">
      <c r="A713" s="3" t="s">
        <v>867</v>
      </c>
      <c r="B713" s="3" t="s">
        <v>862</v>
      </c>
      <c r="C713" s="3" t="s">
        <v>6</v>
      </c>
      <c r="D713" s="3" t="s">
        <v>23</v>
      </c>
      <c r="E713" s="3" t="s">
        <v>27</v>
      </c>
      <c r="F713" s="3" t="n">
        <v>2</v>
      </c>
      <c r="G713" s="4" t="n">
        <v>6500</v>
      </c>
      <c r="H713" s="4" t="n">
        <f aca="false">F713*G713</f>
        <v>13000</v>
      </c>
    </row>
    <row r="714" customFormat="false" ht="15" hidden="false" customHeight="false" outlineLevel="0" collapsed="false">
      <c r="A714" s="3" t="s">
        <v>868</v>
      </c>
      <c r="B714" s="3" t="s">
        <v>862</v>
      </c>
      <c r="C714" s="3" t="s">
        <v>11</v>
      </c>
      <c r="D714" s="3" t="s">
        <v>23</v>
      </c>
      <c r="E714" s="3" t="s">
        <v>27</v>
      </c>
      <c r="F714" s="3" t="n">
        <v>2</v>
      </c>
      <c r="G714" s="4" t="n">
        <v>6500</v>
      </c>
      <c r="H714" s="4" t="n">
        <f aca="false">F714*G714</f>
        <v>13000</v>
      </c>
    </row>
    <row r="715" customFormat="false" ht="15" hidden="false" customHeight="false" outlineLevel="0" collapsed="false">
      <c r="A715" s="3" t="s">
        <v>869</v>
      </c>
      <c r="B715" s="3" t="s">
        <v>862</v>
      </c>
      <c r="C715" s="3" t="s">
        <v>12</v>
      </c>
      <c r="D715" s="3" t="s">
        <v>26</v>
      </c>
      <c r="E715" s="3" t="s">
        <v>27</v>
      </c>
      <c r="F715" s="3" t="n">
        <v>3</v>
      </c>
      <c r="G715" s="4" t="n">
        <v>2500</v>
      </c>
      <c r="H715" s="4" t="n">
        <f aca="false">F715*G715</f>
        <v>7500</v>
      </c>
    </row>
    <row r="716" customFormat="false" ht="15" hidden="false" customHeight="false" outlineLevel="0" collapsed="false">
      <c r="A716" s="3" t="s">
        <v>870</v>
      </c>
      <c r="B716" s="3" t="s">
        <v>862</v>
      </c>
      <c r="C716" s="3" t="s">
        <v>11</v>
      </c>
      <c r="D716" s="3" t="s">
        <v>26</v>
      </c>
      <c r="E716" s="3" t="s">
        <v>24</v>
      </c>
      <c r="F716" s="3" t="n">
        <v>4</v>
      </c>
      <c r="G716" s="4" t="n">
        <v>2500</v>
      </c>
      <c r="H716" s="4" t="n">
        <f aca="false">F716*G716</f>
        <v>10000</v>
      </c>
    </row>
    <row r="717" customFormat="false" ht="15" hidden="false" customHeight="false" outlineLevel="0" collapsed="false">
      <c r="A717" s="3" t="s">
        <v>871</v>
      </c>
      <c r="B717" s="3" t="s">
        <v>872</v>
      </c>
      <c r="C717" s="3" t="s">
        <v>10</v>
      </c>
      <c r="D717" s="3" t="s">
        <v>26</v>
      </c>
      <c r="E717" s="3" t="s">
        <v>24</v>
      </c>
      <c r="F717" s="3" t="n">
        <v>3</v>
      </c>
      <c r="G717" s="4" t="n">
        <v>2500</v>
      </c>
      <c r="H717" s="4" t="n">
        <f aca="false">F717*G717</f>
        <v>7500</v>
      </c>
    </row>
    <row r="718" customFormat="false" ht="15" hidden="false" customHeight="false" outlineLevel="0" collapsed="false">
      <c r="A718" s="3" t="s">
        <v>873</v>
      </c>
      <c r="B718" s="3" t="s">
        <v>872</v>
      </c>
      <c r="C718" s="3" t="s">
        <v>8</v>
      </c>
      <c r="D718" s="3" t="s">
        <v>40</v>
      </c>
      <c r="E718" s="3" t="s">
        <v>27</v>
      </c>
      <c r="F718" s="3" t="n">
        <v>1</v>
      </c>
      <c r="G718" s="4" t="n">
        <v>28000</v>
      </c>
      <c r="H718" s="4" t="n">
        <f aca="false">F718*G718</f>
        <v>28000</v>
      </c>
    </row>
    <row r="719" customFormat="false" ht="15" hidden="false" customHeight="false" outlineLevel="0" collapsed="false">
      <c r="A719" s="3" t="s">
        <v>874</v>
      </c>
      <c r="B719" s="3" t="s">
        <v>872</v>
      </c>
      <c r="C719" s="3" t="s">
        <v>6</v>
      </c>
      <c r="D719" s="3" t="s">
        <v>23</v>
      </c>
      <c r="E719" s="3" t="s">
        <v>24</v>
      </c>
      <c r="F719" s="3" t="n">
        <v>5</v>
      </c>
      <c r="G719" s="4" t="n">
        <v>6500</v>
      </c>
      <c r="H719" s="4" t="n">
        <f aca="false">F719*G719</f>
        <v>32500</v>
      </c>
    </row>
    <row r="720" customFormat="false" ht="15" hidden="false" customHeight="false" outlineLevel="0" collapsed="false">
      <c r="A720" s="3" t="s">
        <v>875</v>
      </c>
      <c r="B720" s="3" t="s">
        <v>872</v>
      </c>
      <c r="C720" s="3" t="s">
        <v>12</v>
      </c>
      <c r="D720" s="3" t="s">
        <v>34</v>
      </c>
      <c r="E720" s="3" t="s">
        <v>27</v>
      </c>
      <c r="F720" s="3" t="n">
        <v>1</v>
      </c>
      <c r="G720" s="4" t="n">
        <v>18500</v>
      </c>
      <c r="H720" s="4" t="n">
        <f aca="false">F720*G720</f>
        <v>18500</v>
      </c>
    </row>
    <row r="721" customFormat="false" ht="15" hidden="false" customHeight="false" outlineLevel="0" collapsed="false">
      <c r="A721" s="3" t="s">
        <v>876</v>
      </c>
      <c r="B721" s="3" t="s">
        <v>872</v>
      </c>
      <c r="C721" s="3" t="s">
        <v>8</v>
      </c>
      <c r="D721" s="3" t="s">
        <v>23</v>
      </c>
      <c r="E721" s="3" t="s">
        <v>24</v>
      </c>
      <c r="F721" s="3" t="n">
        <v>3</v>
      </c>
      <c r="G721" s="4" t="n">
        <v>6500</v>
      </c>
      <c r="H721" s="4" t="n">
        <f aca="false">F721*G721</f>
        <v>19500</v>
      </c>
    </row>
    <row r="722" customFormat="false" ht="15" hidden="false" customHeight="false" outlineLevel="0" collapsed="false">
      <c r="A722" s="3" t="s">
        <v>877</v>
      </c>
      <c r="B722" s="3" t="s">
        <v>878</v>
      </c>
      <c r="C722" s="3" t="s">
        <v>12</v>
      </c>
      <c r="D722" s="3" t="s">
        <v>23</v>
      </c>
      <c r="E722" s="3" t="s">
        <v>24</v>
      </c>
      <c r="F722" s="3" t="n">
        <v>1</v>
      </c>
      <c r="G722" s="4" t="n">
        <v>6500</v>
      </c>
      <c r="H722" s="4" t="n">
        <f aca="false">F722*G722</f>
        <v>6500</v>
      </c>
    </row>
    <row r="723" customFormat="false" ht="15" hidden="false" customHeight="false" outlineLevel="0" collapsed="false">
      <c r="A723" s="3" t="s">
        <v>879</v>
      </c>
      <c r="B723" s="3" t="s">
        <v>878</v>
      </c>
      <c r="C723" s="3" t="s">
        <v>8</v>
      </c>
      <c r="D723" s="3" t="s">
        <v>31</v>
      </c>
      <c r="E723" s="3" t="s">
        <v>24</v>
      </c>
      <c r="F723" s="3" t="n">
        <v>1</v>
      </c>
      <c r="G723" s="4" t="n">
        <v>62000</v>
      </c>
      <c r="H723" s="4" t="n">
        <f aca="false">F723*G723</f>
        <v>62000</v>
      </c>
    </row>
    <row r="724" customFormat="false" ht="15" hidden="false" customHeight="false" outlineLevel="0" collapsed="false">
      <c r="A724" s="3" t="s">
        <v>880</v>
      </c>
      <c r="B724" s="3" t="s">
        <v>878</v>
      </c>
      <c r="C724" s="3" t="s">
        <v>6</v>
      </c>
      <c r="D724" s="3" t="s">
        <v>31</v>
      </c>
      <c r="E724" s="3" t="s">
        <v>24</v>
      </c>
      <c r="F724" s="3" t="n">
        <v>2</v>
      </c>
      <c r="G724" s="4" t="n">
        <v>62000</v>
      </c>
      <c r="H724" s="4" t="n">
        <f aca="false">F724*G724</f>
        <v>124000</v>
      </c>
    </row>
    <row r="725" customFormat="false" ht="15" hidden="false" customHeight="false" outlineLevel="0" collapsed="false">
      <c r="A725" s="3" t="s">
        <v>881</v>
      </c>
      <c r="B725" s="3" t="s">
        <v>882</v>
      </c>
      <c r="C725" s="3" t="s">
        <v>12</v>
      </c>
      <c r="D725" s="3" t="s">
        <v>34</v>
      </c>
      <c r="E725" s="3" t="s">
        <v>24</v>
      </c>
      <c r="F725" s="3" t="n">
        <v>2</v>
      </c>
      <c r="G725" s="4" t="n">
        <v>18500</v>
      </c>
      <c r="H725" s="4" t="n">
        <f aca="false">F725*G725</f>
        <v>37000</v>
      </c>
    </row>
    <row r="726" customFormat="false" ht="15" hidden="false" customHeight="false" outlineLevel="0" collapsed="false">
      <c r="A726" s="3" t="s">
        <v>883</v>
      </c>
      <c r="B726" s="3" t="s">
        <v>882</v>
      </c>
      <c r="C726" s="3" t="s">
        <v>8</v>
      </c>
      <c r="D726" s="3" t="s">
        <v>23</v>
      </c>
      <c r="E726" s="3" t="s">
        <v>24</v>
      </c>
      <c r="F726" s="3" t="n">
        <v>5</v>
      </c>
      <c r="G726" s="4" t="n">
        <v>6500</v>
      </c>
      <c r="H726" s="4" t="n">
        <f aca="false">F726*G726</f>
        <v>32500</v>
      </c>
    </row>
    <row r="727" customFormat="false" ht="15" hidden="false" customHeight="false" outlineLevel="0" collapsed="false">
      <c r="A727" s="3" t="s">
        <v>884</v>
      </c>
      <c r="B727" s="3" t="s">
        <v>882</v>
      </c>
      <c r="C727" s="3" t="s">
        <v>8</v>
      </c>
      <c r="D727" s="3" t="s">
        <v>26</v>
      </c>
      <c r="E727" s="3" t="s">
        <v>27</v>
      </c>
      <c r="F727" s="3" t="n">
        <v>3</v>
      </c>
      <c r="G727" s="4" t="n">
        <v>2500</v>
      </c>
      <c r="H727" s="4" t="n">
        <f aca="false">F727*G727</f>
        <v>7500</v>
      </c>
    </row>
    <row r="728" customFormat="false" ht="15" hidden="false" customHeight="false" outlineLevel="0" collapsed="false">
      <c r="A728" s="3" t="s">
        <v>885</v>
      </c>
      <c r="B728" s="3" t="s">
        <v>886</v>
      </c>
      <c r="C728" s="3" t="s">
        <v>10</v>
      </c>
      <c r="D728" s="3" t="s">
        <v>34</v>
      </c>
      <c r="E728" s="3" t="s">
        <v>24</v>
      </c>
      <c r="F728" s="3" t="n">
        <v>2</v>
      </c>
      <c r="G728" s="4" t="n">
        <v>18500</v>
      </c>
      <c r="H728" s="4" t="n">
        <f aca="false">F728*G728</f>
        <v>37000</v>
      </c>
    </row>
    <row r="729" customFormat="false" ht="15" hidden="false" customHeight="false" outlineLevel="0" collapsed="false">
      <c r="A729" s="3" t="s">
        <v>887</v>
      </c>
      <c r="B729" s="3" t="s">
        <v>886</v>
      </c>
      <c r="C729" s="3" t="s">
        <v>10</v>
      </c>
      <c r="D729" s="3" t="s">
        <v>34</v>
      </c>
      <c r="E729" s="3" t="s">
        <v>27</v>
      </c>
      <c r="F729" s="3" t="n">
        <v>1</v>
      </c>
      <c r="G729" s="4" t="n">
        <v>18500</v>
      </c>
      <c r="H729" s="4" t="n">
        <f aca="false">F729*G729</f>
        <v>18500</v>
      </c>
    </row>
    <row r="730" customFormat="false" ht="15" hidden="false" customHeight="false" outlineLevel="0" collapsed="false">
      <c r="A730" s="3" t="s">
        <v>888</v>
      </c>
      <c r="B730" s="3" t="s">
        <v>886</v>
      </c>
      <c r="C730" s="3" t="s">
        <v>6</v>
      </c>
      <c r="D730" s="3" t="s">
        <v>34</v>
      </c>
      <c r="E730" s="3" t="s">
        <v>24</v>
      </c>
      <c r="F730" s="3" t="n">
        <v>2</v>
      </c>
      <c r="G730" s="4" t="n">
        <v>18500</v>
      </c>
      <c r="H730" s="4" t="n">
        <f aca="false">F730*G730</f>
        <v>37000</v>
      </c>
    </row>
    <row r="731" customFormat="false" ht="15" hidden="false" customHeight="false" outlineLevel="0" collapsed="false">
      <c r="A731" s="3" t="s">
        <v>889</v>
      </c>
      <c r="B731" s="3" t="s">
        <v>886</v>
      </c>
      <c r="C731" s="3" t="s">
        <v>10</v>
      </c>
      <c r="D731" s="3" t="s">
        <v>40</v>
      </c>
      <c r="E731" s="3" t="s">
        <v>24</v>
      </c>
      <c r="F731" s="3" t="n">
        <v>2</v>
      </c>
      <c r="G731" s="4" t="n">
        <v>28000</v>
      </c>
      <c r="H731" s="4" t="n">
        <f aca="false">F731*G731</f>
        <v>56000</v>
      </c>
    </row>
    <row r="732" customFormat="false" ht="15" hidden="false" customHeight="false" outlineLevel="0" collapsed="false">
      <c r="A732" s="3" t="s">
        <v>890</v>
      </c>
      <c r="B732" s="3" t="s">
        <v>886</v>
      </c>
      <c r="C732" s="3" t="s">
        <v>6</v>
      </c>
      <c r="D732" s="3" t="s">
        <v>31</v>
      </c>
      <c r="E732" s="3" t="s">
        <v>24</v>
      </c>
      <c r="F732" s="3" t="n">
        <v>2</v>
      </c>
      <c r="G732" s="4" t="n">
        <v>62000</v>
      </c>
      <c r="H732" s="4" t="n">
        <f aca="false">F732*G732</f>
        <v>124000</v>
      </c>
    </row>
    <row r="733" customFormat="false" ht="15" hidden="false" customHeight="false" outlineLevel="0" collapsed="false">
      <c r="A733" s="3" t="s">
        <v>891</v>
      </c>
      <c r="B733" s="3" t="s">
        <v>886</v>
      </c>
      <c r="C733" s="3" t="s">
        <v>10</v>
      </c>
      <c r="D733" s="3" t="s">
        <v>26</v>
      </c>
      <c r="E733" s="3" t="s">
        <v>27</v>
      </c>
      <c r="F733" s="3" t="n">
        <v>3</v>
      </c>
      <c r="G733" s="4" t="n">
        <v>2500</v>
      </c>
      <c r="H733" s="4" t="n">
        <f aca="false">F733*G733</f>
        <v>7500</v>
      </c>
    </row>
    <row r="734" customFormat="false" ht="15" hidden="false" customHeight="false" outlineLevel="0" collapsed="false">
      <c r="A734" s="3" t="s">
        <v>892</v>
      </c>
      <c r="B734" s="3" t="s">
        <v>893</v>
      </c>
      <c r="C734" s="3" t="s">
        <v>8</v>
      </c>
      <c r="D734" s="3" t="s">
        <v>23</v>
      </c>
      <c r="E734" s="3" t="s">
        <v>24</v>
      </c>
      <c r="F734" s="3" t="n">
        <v>5</v>
      </c>
      <c r="G734" s="4" t="n">
        <v>6500</v>
      </c>
      <c r="H734" s="4" t="n">
        <f aca="false">F734*G734</f>
        <v>32500</v>
      </c>
    </row>
    <row r="735" customFormat="false" ht="15" hidden="false" customHeight="false" outlineLevel="0" collapsed="false">
      <c r="A735" s="3" t="s">
        <v>894</v>
      </c>
      <c r="B735" s="3" t="s">
        <v>893</v>
      </c>
      <c r="C735" s="3" t="s">
        <v>6</v>
      </c>
      <c r="D735" s="3" t="s">
        <v>26</v>
      </c>
      <c r="E735" s="3" t="s">
        <v>24</v>
      </c>
      <c r="F735" s="3" t="n">
        <v>5</v>
      </c>
      <c r="G735" s="4" t="n">
        <v>2500</v>
      </c>
      <c r="H735" s="4" t="n">
        <f aca="false">F735*G735</f>
        <v>12500</v>
      </c>
    </row>
    <row r="736" customFormat="false" ht="15" hidden="false" customHeight="false" outlineLevel="0" collapsed="false">
      <c r="A736" s="3" t="s">
        <v>895</v>
      </c>
      <c r="B736" s="3" t="s">
        <v>893</v>
      </c>
      <c r="C736" s="3" t="s">
        <v>12</v>
      </c>
      <c r="D736" s="3" t="s">
        <v>23</v>
      </c>
      <c r="E736" s="3" t="s">
        <v>24</v>
      </c>
      <c r="F736" s="3" t="n">
        <v>1</v>
      </c>
      <c r="G736" s="4" t="n">
        <v>6500</v>
      </c>
      <c r="H736" s="4" t="n">
        <f aca="false">F736*G736</f>
        <v>6500</v>
      </c>
    </row>
    <row r="737" customFormat="false" ht="15" hidden="false" customHeight="false" outlineLevel="0" collapsed="false">
      <c r="A737" s="3" t="s">
        <v>896</v>
      </c>
      <c r="B737" s="3" t="s">
        <v>893</v>
      </c>
      <c r="C737" s="3" t="s">
        <v>10</v>
      </c>
      <c r="D737" s="3" t="s">
        <v>31</v>
      </c>
      <c r="E737" s="3" t="s">
        <v>24</v>
      </c>
      <c r="F737" s="3" t="n">
        <v>2</v>
      </c>
      <c r="G737" s="4" t="n">
        <v>62000</v>
      </c>
      <c r="H737" s="4" t="n">
        <f aca="false">F737*G737</f>
        <v>124000</v>
      </c>
    </row>
    <row r="738" customFormat="false" ht="15" hidden="false" customHeight="false" outlineLevel="0" collapsed="false">
      <c r="A738" s="3" t="s">
        <v>897</v>
      </c>
      <c r="B738" s="3" t="s">
        <v>893</v>
      </c>
      <c r="C738" s="3" t="s">
        <v>12</v>
      </c>
      <c r="D738" s="3" t="s">
        <v>23</v>
      </c>
      <c r="E738" s="3" t="s">
        <v>27</v>
      </c>
      <c r="F738" s="3" t="n">
        <v>5</v>
      </c>
      <c r="G738" s="4" t="n">
        <v>6500</v>
      </c>
      <c r="H738" s="4" t="n">
        <f aca="false">F738*G738</f>
        <v>32500</v>
      </c>
    </row>
    <row r="739" customFormat="false" ht="15" hidden="false" customHeight="false" outlineLevel="0" collapsed="false">
      <c r="A739" s="3" t="s">
        <v>898</v>
      </c>
      <c r="B739" s="3" t="s">
        <v>899</v>
      </c>
      <c r="C739" s="3" t="s">
        <v>8</v>
      </c>
      <c r="D739" s="3" t="s">
        <v>29</v>
      </c>
      <c r="E739" s="3" t="s">
        <v>24</v>
      </c>
      <c r="F739" s="3" t="n">
        <v>1</v>
      </c>
      <c r="G739" s="4" t="n">
        <v>45000</v>
      </c>
      <c r="H739" s="4" t="n">
        <f aca="false">F739*G739</f>
        <v>45000</v>
      </c>
    </row>
    <row r="740" customFormat="false" ht="15" hidden="false" customHeight="false" outlineLevel="0" collapsed="false">
      <c r="A740" s="3" t="s">
        <v>900</v>
      </c>
      <c r="B740" s="3" t="s">
        <v>899</v>
      </c>
      <c r="C740" s="3" t="s">
        <v>6</v>
      </c>
      <c r="D740" s="3" t="s">
        <v>23</v>
      </c>
      <c r="E740" s="3" t="s">
        <v>24</v>
      </c>
      <c r="F740" s="3" t="n">
        <v>4</v>
      </c>
      <c r="G740" s="4" t="n">
        <v>6500</v>
      </c>
      <c r="H740" s="4" t="n">
        <f aca="false">F740*G740</f>
        <v>26000</v>
      </c>
    </row>
    <row r="741" customFormat="false" ht="15" hidden="false" customHeight="false" outlineLevel="0" collapsed="false">
      <c r="A741" s="3" t="s">
        <v>901</v>
      </c>
      <c r="B741" s="3" t="s">
        <v>899</v>
      </c>
      <c r="C741" s="3" t="s">
        <v>6</v>
      </c>
      <c r="D741" s="3" t="s">
        <v>34</v>
      </c>
      <c r="E741" s="3" t="s">
        <v>24</v>
      </c>
      <c r="F741" s="3" t="n">
        <v>1</v>
      </c>
      <c r="G741" s="4" t="n">
        <v>18500</v>
      </c>
      <c r="H741" s="4" t="n">
        <f aca="false">F741*G741</f>
        <v>18500</v>
      </c>
    </row>
    <row r="742" customFormat="false" ht="15" hidden="false" customHeight="false" outlineLevel="0" collapsed="false">
      <c r="A742" s="3" t="s">
        <v>902</v>
      </c>
      <c r="B742" s="3" t="s">
        <v>899</v>
      </c>
      <c r="C742" s="3" t="s">
        <v>8</v>
      </c>
      <c r="D742" s="3" t="s">
        <v>34</v>
      </c>
      <c r="E742" s="3" t="s">
        <v>24</v>
      </c>
      <c r="F742" s="3" t="n">
        <v>2</v>
      </c>
      <c r="G742" s="4" t="n">
        <v>18500</v>
      </c>
      <c r="H742" s="4" t="n">
        <f aca="false">F742*G742</f>
        <v>37000</v>
      </c>
    </row>
    <row r="743" customFormat="false" ht="15" hidden="false" customHeight="false" outlineLevel="0" collapsed="false">
      <c r="A743" s="3" t="s">
        <v>903</v>
      </c>
      <c r="B743" s="3" t="s">
        <v>899</v>
      </c>
      <c r="C743" s="3" t="s">
        <v>11</v>
      </c>
      <c r="D743" s="3" t="s">
        <v>34</v>
      </c>
      <c r="E743" s="3" t="s">
        <v>24</v>
      </c>
      <c r="F743" s="3" t="n">
        <v>2</v>
      </c>
      <c r="G743" s="4" t="n">
        <v>18500</v>
      </c>
      <c r="H743" s="4" t="n">
        <f aca="false">F743*G743</f>
        <v>37000</v>
      </c>
    </row>
    <row r="744" customFormat="false" ht="15" hidden="false" customHeight="false" outlineLevel="0" collapsed="false">
      <c r="A744" s="3" t="s">
        <v>904</v>
      </c>
      <c r="B744" s="3" t="s">
        <v>905</v>
      </c>
      <c r="C744" s="3" t="s">
        <v>8</v>
      </c>
      <c r="D744" s="3" t="s">
        <v>29</v>
      </c>
      <c r="E744" s="3" t="s">
        <v>24</v>
      </c>
      <c r="F744" s="3" t="n">
        <v>1</v>
      </c>
      <c r="G744" s="4" t="n">
        <v>45000</v>
      </c>
      <c r="H744" s="4" t="n">
        <f aca="false">F744*G744</f>
        <v>45000</v>
      </c>
    </row>
    <row r="745" customFormat="false" ht="15" hidden="false" customHeight="false" outlineLevel="0" collapsed="false">
      <c r="A745" s="3" t="s">
        <v>906</v>
      </c>
      <c r="B745" s="3" t="s">
        <v>905</v>
      </c>
      <c r="C745" s="3" t="s">
        <v>6</v>
      </c>
      <c r="D745" s="3" t="s">
        <v>31</v>
      </c>
      <c r="E745" s="3" t="s">
        <v>24</v>
      </c>
      <c r="F745" s="3" t="n">
        <v>1</v>
      </c>
      <c r="G745" s="4" t="n">
        <v>62000</v>
      </c>
      <c r="H745" s="4" t="n">
        <f aca="false">F745*G745</f>
        <v>62000</v>
      </c>
    </row>
    <row r="746" customFormat="false" ht="15" hidden="false" customHeight="false" outlineLevel="0" collapsed="false">
      <c r="A746" s="3" t="s">
        <v>907</v>
      </c>
      <c r="B746" s="3" t="s">
        <v>905</v>
      </c>
      <c r="C746" s="3" t="s">
        <v>12</v>
      </c>
      <c r="D746" s="3" t="s">
        <v>26</v>
      </c>
      <c r="E746" s="3" t="s">
        <v>24</v>
      </c>
      <c r="F746" s="3" t="n">
        <v>1</v>
      </c>
      <c r="G746" s="4" t="n">
        <v>2500</v>
      </c>
      <c r="H746" s="4" t="n">
        <f aca="false">F746*G746</f>
        <v>2500</v>
      </c>
    </row>
    <row r="747" customFormat="false" ht="15" hidden="false" customHeight="false" outlineLevel="0" collapsed="false">
      <c r="A747" s="3" t="s">
        <v>908</v>
      </c>
      <c r="B747" s="3" t="s">
        <v>905</v>
      </c>
      <c r="C747" s="3" t="s">
        <v>8</v>
      </c>
      <c r="D747" s="3" t="s">
        <v>26</v>
      </c>
      <c r="E747" s="3" t="s">
        <v>27</v>
      </c>
      <c r="F747" s="3" t="n">
        <v>1</v>
      </c>
      <c r="G747" s="4" t="n">
        <v>2500</v>
      </c>
      <c r="H747" s="4" t="n">
        <f aca="false">F747*G747</f>
        <v>2500</v>
      </c>
    </row>
    <row r="748" customFormat="false" ht="15" hidden="false" customHeight="false" outlineLevel="0" collapsed="false">
      <c r="A748" s="3" t="s">
        <v>909</v>
      </c>
      <c r="B748" s="3" t="s">
        <v>905</v>
      </c>
      <c r="C748" s="3" t="s">
        <v>8</v>
      </c>
      <c r="D748" s="3" t="s">
        <v>40</v>
      </c>
      <c r="E748" s="3" t="s">
        <v>24</v>
      </c>
      <c r="F748" s="3" t="n">
        <v>1</v>
      </c>
      <c r="G748" s="4" t="n">
        <v>28000</v>
      </c>
      <c r="H748" s="4" t="n">
        <f aca="false">F748*G748</f>
        <v>28000</v>
      </c>
    </row>
    <row r="749" customFormat="false" ht="15" hidden="false" customHeight="false" outlineLevel="0" collapsed="false">
      <c r="A749" s="3" t="s">
        <v>910</v>
      </c>
      <c r="B749" s="3" t="s">
        <v>905</v>
      </c>
      <c r="C749" s="3" t="s">
        <v>12</v>
      </c>
      <c r="D749" s="3" t="s">
        <v>31</v>
      </c>
      <c r="E749" s="3" t="s">
        <v>24</v>
      </c>
      <c r="F749" s="3" t="n">
        <v>2</v>
      </c>
      <c r="G749" s="4" t="n">
        <v>62000</v>
      </c>
      <c r="H749" s="4" t="n">
        <f aca="false">F749*G749</f>
        <v>124000</v>
      </c>
    </row>
    <row r="750" customFormat="false" ht="15" hidden="false" customHeight="false" outlineLevel="0" collapsed="false">
      <c r="A750" s="3" t="s">
        <v>911</v>
      </c>
      <c r="B750" s="3" t="s">
        <v>912</v>
      </c>
      <c r="C750" s="3" t="s">
        <v>11</v>
      </c>
      <c r="D750" s="3" t="s">
        <v>29</v>
      </c>
      <c r="E750" s="3" t="s">
        <v>24</v>
      </c>
      <c r="F750" s="3" t="n">
        <v>2</v>
      </c>
      <c r="G750" s="4" t="n">
        <v>45000</v>
      </c>
      <c r="H750" s="4" t="n">
        <f aca="false">F750*G750</f>
        <v>90000</v>
      </c>
    </row>
    <row r="751" customFormat="false" ht="15" hidden="false" customHeight="false" outlineLevel="0" collapsed="false">
      <c r="A751" s="3" t="s">
        <v>913</v>
      </c>
      <c r="B751" s="3" t="s">
        <v>912</v>
      </c>
      <c r="C751" s="3" t="s">
        <v>11</v>
      </c>
      <c r="D751" s="3" t="s">
        <v>23</v>
      </c>
      <c r="E751" s="3" t="s">
        <v>24</v>
      </c>
      <c r="F751" s="3" t="n">
        <v>4</v>
      </c>
      <c r="G751" s="4" t="n">
        <v>6500</v>
      </c>
      <c r="H751" s="4" t="n">
        <f aca="false">F751*G751</f>
        <v>26000</v>
      </c>
    </row>
    <row r="752" customFormat="false" ht="15" hidden="false" customHeight="false" outlineLevel="0" collapsed="false">
      <c r="A752" s="3" t="s">
        <v>914</v>
      </c>
      <c r="B752" s="3" t="s">
        <v>912</v>
      </c>
      <c r="C752" s="3" t="s">
        <v>6</v>
      </c>
      <c r="D752" s="3" t="s">
        <v>26</v>
      </c>
      <c r="E752" s="3" t="s">
        <v>24</v>
      </c>
      <c r="F752" s="3" t="n">
        <v>3</v>
      </c>
      <c r="G752" s="4" t="n">
        <v>2500</v>
      </c>
      <c r="H752" s="4" t="n">
        <f aca="false">F752*G752</f>
        <v>7500</v>
      </c>
    </row>
    <row r="753" customFormat="false" ht="15" hidden="false" customHeight="false" outlineLevel="0" collapsed="false">
      <c r="A753" s="3" t="s">
        <v>915</v>
      </c>
      <c r="B753" s="3" t="s">
        <v>912</v>
      </c>
      <c r="C753" s="3" t="s">
        <v>8</v>
      </c>
      <c r="D753" s="3" t="s">
        <v>23</v>
      </c>
      <c r="E753" s="3" t="s">
        <v>24</v>
      </c>
      <c r="F753" s="3" t="n">
        <v>3</v>
      </c>
      <c r="G753" s="4" t="n">
        <v>6500</v>
      </c>
      <c r="H753" s="4" t="n">
        <f aca="false">F753*G753</f>
        <v>19500</v>
      </c>
    </row>
    <row r="754" customFormat="false" ht="15" hidden="false" customHeight="false" outlineLevel="0" collapsed="false">
      <c r="A754" s="3" t="s">
        <v>916</v>
      </c>
      <c r="B754" s="3" t="s">
        <v>912</v>
      </c>
      <c r="C754" s="3" t="s">
        <v>11</v>
      </c>
      <c r="D754" s="3" t="s">
        <v>34</v>
      </c>
      <c r="E754" s="3" t="s">
        <v>27</v>
      </c>
      <c r="F754" s="3" t="n">
        <v>2</v>
      </c>
      <c r="G754" s="4" t="n">
        <v>18500</v>
      </c>
      <c r="H754" s="4" t="n">
        <f aca="false">F754*G754</f>
        <v>37000</v>
      </c>
    </row>
    <row r="755" customFormat="false" ht="15" hidden="false" customHeight="false" outlineLevel="0" collapsed="false">
      <c r="A755" s="3" t="s">
        <v>917</v>
      </c>
      <c r="B755" s="3" t="s">
        <v>912</v>
      </c>
      <c r="C755" s="3" t="s">
        <v>6</v>
      </c>
      <c r="D755" s="3" t="s">
        <v>26</v>
      </c>
      <c r="E755" s="3" t="s">
        <v>27</v>
      </c>
      <c r="F755" s="3" t="n">
        <v>1</v>
      </c>
      <c r="G755" s="4" t="n">
        <v>2500</v>
      </c>
      <c r="H755" s="4" t="n">
        <f aca="false">F755*G755</f>
        <v>2500</v>
      </c>
    </row>
    <row r="756" customFormat="false" ht="15" hidden="false" customHeight="false" outlineLevel="0" collapsed="false">
      <c r="A756" s="3" t="s">
        <v>918</v>
      </c>
      <c r="B756" s="3" t="s">
        <v>912</v>
      </c>
      <c r="C756" s="3" t="s">
        <v>10</v>
      </c>
      <c r="D756" s="3" t="s">
        <v>34</v>
      </c>
      <c r="E756" s="3" t="s">
        <v>24</v>
      </c>
      <c r="F756" s="3" t="n">
        <v>2</v>
      </c>
      <c r="G756" s="4" t="n">
        <v>18500</v>
      </c>
      <c r="H756" s="4" t="n">
        <f aca="false">F756*G756</f>
        <v>37000</v>
      </c>
    </row>
    <row r="757" customFormat="false" ht="15" hidden="false" customHeight="false" outlineLevel="0" collapsed="false">
      <c r="A757" s="3" t="s">
        <v>919</v>
      </c>
      <c r="B757" s="3" t="s">
        <v>912</v>
      </c>
      <c r="C757" s="3" t="s">
        <v>8</v>
      </c>
      <c r="D757" s="3" t="s">
        <v>26</v>
      </c>
      <c r="E757" s="3" t="s">
        <v>24</v>
      </c>
      <c r="F757" s="3" t="n">
        <v>2</v>
      </c>
      <c r="G757" s="4" t="n">
        <v>2500</v>
      </c>
      <c r="H757" s="4" t="n">
        <f aca="false">F757*G757</f>
        <v>5000</v>
      </c>
    </row>
    <row r="758" customFormat="false" ht="15" hidden="false" customHeight="false" outlineLevel="0" collapsed="false">
      <c r="A758" s="3" t="s">
        <v>920</v>
      </c>
      <c r="B758" s="3" t="s">
        <v>921</v>
      </c>
      <c r="C758" s="3" t="s">
        <v>12</v>
      </c>
      <c r="D758" s="3" t="s">
        <v>23</v>
      </c>
      <c r="E758" s="3" t="s">
        <v>27</v>
      </c>
      <c r="F758" s="3" t="n">
        <v>5</v>
      </c>
      <c r="G758" s="4" t="n">
        <v>6500</v>
      </c>
      <c r="H758" s="4" t="n">
        <f aca="false">F758*G758</f>
        <v>32500</v>
      </c>
    </row>
    <row r="759" customFormat="false" ht="15" hidden="false" customHeight="false" outlineLevel="0" collapsed="false">
      <c r="A759" s="3" t="s">
        <v>922</v>
      </c>
      <c r="B759" s="3" t="s">
        <v>921</v>
      </c>
      <c r="C759" s="3" t="s">
        <v>6</v>
      </c>
      <c r="D759" s="3" t="s">
        <v>23</v>
      </c>
      <c r="E759" s="3" t="s">
        <v>24</v>
      </c>
      <c r="F759" s="3" t="n">
        <v>3</v>
      </c>
      <c r="G759" s="4" t="n">
        <v>6500</v>
      </c>
      <c r="H759" s="4" t="n">
        <f aca="false">F759*G759</f>
        <v>19500</v>
      </c>
    </row>
    <row r="760" customFormat="false" ht="15" hidden="false" customHeight="false" outlineLevel="0" collapsed="false">
      <c r="A760" s="3" t="s">
        <v>923</v>
      </c>
      <c r="B760" s="3" t="s">
        <v>921</v>
      </c>
      <c r="C760" s="3" t="s">
        <v>12</v>
      </c>
      <c r="D760" s="3" t="s">
        <v>34</v>
      </c>
      <c r="E760" s="3" t="s">
        <v>27</v>
      </c>
      <c r="F760" s="3" t="n">
        <v>1</v>
      </c>
      <c r="G760" s="4" t="n">
        <v>18500</v>
      </c>
      <c r="H760" s="4" t="n">
        <f aca="false">F760*G760</f>
        <v>18500</v>
      </c>
    </row>
    <row r="761" customFormat="false" ht="15" hidden="false" customHeight="false" outlineLevel="0" collapsed="false">
      <c r="A761" s="3" t="s">
        <v>924</v>
      </c>
      <c r="B761" s="3" t="s">
        <v>925</v>
      </c>
      <c r="C761" s="3" t="s">
        <v>10</v>
      </c>
      <c r="D761" s="3" t="s">
        <v>26</v>
      </c>
      <c r="E761" s="3" t="s">
        <v>24</v>
      </c>
      <c r="F761" s="3" t="n">
        <v>5</v>
      </c>
      <c r="G761" s="4" t="n">
        <v>2500</v>
      </c>
      <c r="H761" s="4" t="n">
        <f aca="false">F761*G761</f>
        <v>12500</v>
      </c>
    </row>
    <row r="762" customFormat="false" ht="15" hidden="false" customHeight="false" outlineLevel="0" collapsed="false">
      <c r="A762" s="3" t="s">
        <v>926</v>
      </c>
      <c r="B762" s="3" t="s">
        <v>925</v>
      </c>
      <c r="C762" s="3" t="s">
        <v>8</v>
      </c>
      <c r="D762" s="3" t="s">
        <v>26</v>
      </c>
      <c r="E762" s="3" t="s">
        <v>24</v>
      </c>
      <c r="F762" s="3" t="n">
        <v>1</v>
      </c>
      <c r="G762" s="4" t="n">
        <v>2500</v>
      </c>
      <c r="H762" s="4" t="n">
        <f aca="false">F762*G762</f>
        <v>2500</v>
      </c>
    </row>
    <row r="763" customFormat="false" ht="15" hidden="false" customHeight="false" outlineLevel="0" collapsed="false">
      <c r="A763" s="3" t="s">
        <v>927</v>
      </c>
      <c r="B763" s="3" t="s">
        <v>925</v>
      </c>
      <c r="C763" s="3" t="s">
        <v>8</v>
      </c>
      <c r="D763" s="3" t="s">
        <v>26</v>
      </c>
      <c r="E763" s="3" t="s">
        <v>24</v>
      </c>
      <c r="F763" s="3" t="n">
        <v>1</v>
      </c>
      <c r="G763" s="4" t="n">
        <v>2500</v>
      </c>
      <c r="H763" s="4" t="n">
        <f aca="false">F763*G763</f>
        <v>2500</v>
      </c>
    </row>
    <row r="764" customFormat="false" ht="15" hidden="false" customHeight="false" outlineLevel="0" collapsed="false">
      <c r="A764" s="3" t="s">
        <v>928</v>
      </c>
      <c r="B764" s="3" t="s">
        <v>925</v>
      </c>
      <c r="C764" s="3" t="s">
        <v>6</v>
      </c>
      <c r="D764" s="3" t="s">
        <v>40</v>
      </c>
      <c r="E764" s="3" t="s">
        <v>27</v>
      </c>
      <c r="F764" s="3" t="n">
        <v>2</v>
      </c>
      <c r="G764" s="4" t="n">
        <v>28000</v>
      </c>
      <c r="H764" s="4" t="n">
        <f aca="false">F764*G764</f>
        <v>56000</v>
      </c>
    </row>
    <row r="765" customFormat="false" ht="15" hidden="false" customHeight="false" outlineLevel="0" collapsed="false">
      <c r="A765" s="3" t="s">
        <v>929</v>
      </c>
      <c r="B765" s="3" t="s">
        <v>925</v>
      </c>
      <c r="C765" s="3" t="s">
        <v>6</v>
      </c>
      <c r="D765" s="3" t="s">
        <v>26</v>
      </c>
      <c r="E765" s="3" t="s">
        <v>24</v>
      </c>
      <c r="F765" s="3" t="n">
        <v>3</v>
      </c>
      <c r="G765" s="4" t="n">
        <v>2500</v>
      </c>
      <c r="H765" s="4" t="n">
        <f aca="false">F765*G765</f>
        <v>7500</v>
      </c>
    </row>
    <row r="766" customFormat="false" ht="15" hidden="false" customHeight="false" outlineLevel="0" collapsed="false">
      <c r="A766" s="3" t="s">
        <v>930</v>
      </c>
      <c r="B766" s="3" t="s">
        <v>931</v>
      </c>
      <c r="C766" s="3" t="s">
        <v>8</v>
      </c>
      <c r="D766" s="3" t="s">
        <v>26</v>
      </c>
      <c r="E766" s="3" t="s">
        <v>27</v>
      </c>
      <c r="F766" s="3" t="n">
        <v>2</v>
      </c>
      <c r="G766" s="4" t="n">
        <v>2500</v>
      </c>
      <c r="H766" s="4" t="n">
        <f aca="false">F766*G766</f>
        <v>5000</v>
      </c>
    </row>
    <row r="767" customFormat="false" ht="15" hidden="false" customHeight="false" outlineLevel="0" collapsed="false">
      <c r="A767" s="3" t="s">
        <v>932</v>
      </c>
      <c r="B767" s="3" t="s">
        <v>931</v>
      </c>
      <c r="C767" s="3" t="s">
        <v>6</v>
      </c>
      <c r="D767" s="3" t="s">
        <v>23</v>
      </c>
      <c r="E767" s="3" t="s">
        <v>27</v>
      </c>
      <c r="F767" s="3" t="n">
        <v>4</v>
      </c>
      <c r="G767" s="4" t="n">
        <v>6500</v>
      </c>
      <c r="H767" s="4" t="n">
        <f aca="false">F767*G767</f>
        <v>26000</v>
      </c>
    </row>
    <row r="768" customFormat="false" ht="15" hidden="false" customHeight="false" outlineLevel="0" collapsed="false">
      <c r="A768" s="3" t="s">
        <v>933</v>
      </c>
      <c r="B768" s="3" t="s">
        <v>931</v>
      </c>
      <c r="C768" s="3" t="s">
        <v>8</v>
      </c>
      <c r="D768" s="3" t="s">
        <v>40</v>
      </c>
      <c r="E768" s="3" t="s">
        <v>24</v>
      </c>
      <c r="F768" s="3" t="n">
        <v>1</v>
      </c>
      <c r="G768" s="4" t="n">
        <v>28000</v>
      </c>
      <c r="H768" s="4" t="n">
        <f aca="false">F768*G768</f>
        <v>28000</v>
      </c>
    </row>
    <row r="769" customFormat="false" ht="15" hidden="false" customHeight="false" outlineLevel="0" collapsed="false">
      <c r="A769" s="3" t="s">
        <v>934</v>
      </c>
      <c r="B769" s="3" t="s">
        <v>931</v>
      </c>
      <c r="C769" s="3" t="s">
        <v>6</v>
      </c>
      <c r="D769" s="3" t="s">
        <v>23</v>
      </c>
      <c r="E769" s="3" t="s">
        <v>27</v>
      </c>
      <c r="F769" s="3" t="n">
        <v>2</v>
      </c>
      <c r="G769" s="4" t="n">
        <v>6500</v>
      </c>
      <c r="H769" s="4" t="n">
        <f aca="false">F769*G769</f>
        <v>13000</v>
      </c>
    </row>
    <row r="770" customFormat="false" ht="15" hidden="false" customHeight="false" outlineLevel="0" collapsed="false">
      <c r="A770" s="3" t="s">
        <v>935</v>
      </c>
      <c r="B770" s="3" t="s">
        <v>936</v>
      </c>
      <c r="C770" s="3" t="s">
        <v>10</v>
      </c>
      <c r="D770" s="3" t="s">
        <v>26</v>
      </c>
      <c r="E770" s="3" t="s">
        <v>24</v>
      </c>
      <c r="F770" s="3" t="n">
        <v>3</v>
      </c>
      <c r="G770" s="4" t="n">
        <v>2500</v>
      </c>
      <c r="H770" s="4" t="n">
        <f aca="false">F770*G770</f>
        <v>7500</v>
      </c>
    </row>
    <row r="771" customFormat="false" ht="15" hidden="false" customHeight="false" outlineLevel="0" collapsed="false">
      <c r="A771" s="3" t="s">
        <v>937</v>
      </c>
      <c r="B771" s="3" t="s">
        <v>936</v>
      </c>
      <c r="C771" s="3" t="s">
        <v>6</v>
      </c>
      <c r="D771" s="3" t="s">
        <v>34</v>
      </c>
      <c r="E771" s="3" t="s">
        <v>24</v>
      </c>
      <c r="F771" s="3" t="n">
        <v>1</v>
      </c>
      <c r="G771" s="4" t="n">
        <v>18500</v>
      </c>
      <c r="H771" s="4" t="n">
        <f aca="false">F771*G771</f>
        <v>18500</v>
      </c>
    </row>
    <row r="772" customFormat="false" ht="15" hidden="false" customHeight="false" outlineLevel="0" collapsed="false">
      <c r="A772" s="3" t="s">
        <v>938</v>
      </c>
      <c r="B772" s="3" t="s">
        <v>936</v>
      </c>
      <c r="C772" s="3" t="s">
        <v>8</v>
      </c>
      <c r="D772" s="3" t="s">
        <v>34</v>
      </c>
      <c r="E772" s="3" t="s">
        <v>24</v>
      </c>
      <c r="F772" s="3" t="n">
        <v>1</v>
      </c>
      <c r="G772" s="4" t="n">
        <v>18500</v>
      </c>
      <c r="H772" s="4" t="n">
        <f aca="false">F772*G772</f>
        <v>18500</v>
      </c>
    </row>
    <row r="773" customFormat="false" ht="15" hidden="false" customHeight="false" outlineLevel="0" collapsed="false">
      <c r="A773" s="3" t="s">
        <v>939</v>
      </c>
      <c r="B773" s="3" t="s">
        <v>936</v>
      </c>
      <c r="C773" s="3" t="s">
        <v>6</v>
      </c>
      <c r="D773" s="3" t="s">
        <v>40</v>
      </c>
      <c r="E773" s="3" t="s">
        <v>24</v>
      </c>
      <c r="F773" s="3" t="n">
        <v>2</v>
      </c>
      <c r="G773" s="4" t="n">
        <v>28000</v>
      </c>
      <c r="H773" s="4" t="n">
        <f aca="false">F773*G773</f>
        <v>56000</v>
      </c>
    </row>
    <row r="774" customFormat="false" ht="15" hidden="false" customHeight="false" outlineLevel="0" collapsed="false">
      <c r="A774" s="3" t="s">
        <v>940</v>
      </c>
      <c r="B774" s="3" t="s">
        <v>936</v>
      </c>
      <c r="C774" s="3" t="s">
        <v>8</v>
      </c>
      <c r="D774" s="3" t="s">
        <v>23</v>
      </c>
      <c r="E774" s="3" t="s">
        <v>24</v>
      </c>
      <c r="F774" s="3" t="n">
        <v>2</v>
      </c>
      <c r="G774" s="4" t="n">
        <v>6500</v>
      </c>
      <c r="H774" s="4" t="n">
        <f aca="false">F774*G774</f>
        <v>13000</v>
      </c>
    </row>
    <row r="775" customFormat="false" ht="15" hidden="false" customHeight="false" outlineLevel="0" collapsed="false">
      <c r="A775" s="3" t="s">
        <v>941</v>
      </c>
      <c r="B775" s="3" t="s">
        <v>942</v>
      </c>
      <c r="C775" s="3" t="s">
        <v>8</v>
      </c>
      <c r="D775" s="3" t="s">
        <v>26</v>
      </c>
      <c r="E775" s="3" t="s">
        <v>24</v>
      </c>
      <c r="F775" s="3" t="n">
        <v>5</v>
      </c>
      <c r="G775" s="4" t="n">
        <v>2500</v>
      </c>
      <c r="H775" s="4" t="n">
        <f aca="false">F775*G775</f>
        <v>12500</v>
      </c>
    </row>
    <row r="776" customFormat="false" ht="15" hidden="false" customHeight="false" outlineLevel="0" collapsed="false">
      <c r="A776" s="3" t="s">
        <v>943</v>
      </c>
      <c r="B776" s="3" t="s">
        <v>942</v>
      </c>
      <c r="C776" s="3" t="s">
        <v>10</v>
      </c>
      <c r="D776" s="3" t="s">
        <v>40</v>
      </c>
      <c r="E776" s="3" t="s">
        <v>24</v>
      </c>
      <c r="F776" s="3" t="n">
        <v>1</v>
      </c>
      <c r="G776" s="4" t="n">
        <v>28000</v>
      </c>
      <c r="H776" s="4" t="n">
        <f aca="false">F776*G776</f>
        <v>28000</v>
      </c>
    </row>
    <row r="777" customFormat="false" ht="15" hidden="false" customHeight="false" outlineLevel="0" collapsed="false">
      <c r="A777" s="3" t="s">
        <v>944</v>
      </c>
      <c r="B777" s="3" t="s">
        <v>942</v>
      </c>
      <c r="C777" s="3" t="s">
        <v>10</v>
      </c>
      <c r="D777" s="3" t="s">
        <v>34</v>
      </c>
      <c r="E777" s="3" t="s">
        <v>24</v>
      </c>
      <c r="F777" s="3" t="n">
        <v>2</v>
      </c>
      <c r="G777" s="4" t="n">
        <v>18500</v>
      </c>
      <c r="H777" s="4" t="n">
        <f aca="false">F777*G777</f>
        <v>37000</v>
      </c>
    </row>
    <row r="778" customFormat="false" ht="15" hidden="false" customHeight="false" outlineLevel="0" collapsed="false">
      <c r="A778" s="3" t="s">
        <v>945</v>
      </c>
      <c r="B778" s="3" t="s">
        <v>942</v>
      </c>
      <c r="C778" s="3" t="s">
        <v>8</v>
      </c>
      <c r="D778" s="3" t="s">
        <v>34</v>
      </c>
      <c r="E778" s="3" t="s">
        <v>24</v>
      </c>
      <c r="F778" s="3" t="n">
        <v>1</v>
      </c>
      <c r="G778" s="4" t="n">
        <v>18500</v>
      </c>
      <c r="H778" s="4" t="n">
        <f aca="false">F778*G778</f>
        <v>18500</v>
      </c>
    </row>
    <row r="779" customFormat="false" ht="15" hidden="false" customHeight="false" outlineLevel="0" collapsed="false">
      <c r="A779" s="3" t="s">
        <v>946</v>
      </c>
      <c r="B779" s="3" t="s">
        <v>947</v>
      </c>
      <c r="C779" s="3" t="s">
        <v>6</v>
      </c>
      <c r="D779" s="3" t="s">
        <v>34</v>
      </c>
      <c r="E779" s="3" t="s">
        <v>27</v>
      </c>
      <c r="F779" s="3" t="n">
        <v>2</v>
      </c>
      <c r="G779" s="4" t="n">
        <v>18500</v>
      </c>
      <c r="H779" s="4" t="n">
        <f aca="false">F779*G779</f>
        <v>37000</v>
      </c>
    </row>
    <row r="780" customFormat="false" ht="15" hidden="false" customHeight="false" outlineLevel="0" collapsed="false">
      <c r="A780" s="3" t="s">
        <v>948</v>
      </c>
      <c r="B780" s="3" t="s">
        <v>947</v>
      </c>
      <c r="C780" s="3" t="s">
        <v>8</v>
      </c>
      <c r="D780" s="3" t="s">
        <v>34</v>
      </c>
      <c r="E780" s="3" t="s">
        <v>24</v>
      </c>
      <c r="F780" s="3" t="n">
        <v>1</v>
      </c>
      <c r="G780" s="4" t="n">
        <v>18500</v>
      </c>
      <c r="H780" s="4" t="n">
        <f aca="false">F780*G780</f>
        <v>18500</v>
      </c>
    </row>
    <row r="781" customFormat="false" ht="15" hidden="false" customHeight="false" outlineLevel="0" collapsed="false">
      <c r="A781" s="3" t="s">
        <v>949</v>
      </c>
      <c r="B781" s="3" t="s">
        <v>947</v>
      </c>
      <c r="C781" s="3" t="s">
        <v>6</v>
      </c>
      <c r="D781" s="3" t="s">
        <v>31</v>
      </c>
      <c r="E781" s="3" t="s">
        <v>24</v>
      </c>
      <c r="F781" s="3" t="n">
        <v>2</v>
      </c>
      <c r="G781" s="4" t="n">
        <v>62000</v>
      </c>
      <c r="H781" s="4" t="n">
        <f aca="false">F781*G781</f>
        <v>124000</v>
      </c>
    </row>
    <row r="782" customFormat="false" ht="15" hidden="false" customHeight="false" outlineLevel="0" collapsed="false">
      <c r="A782" s="3" t="s">
        <v>950</v>
      </c>
      <c r="B782" s="3" t="s">
        <v>947</v>
      </c>
      <c r="C782" s="3" t="s">
        <v>12</v>
      </c>
      <c r="D782" s="3" t="s">
        <v>23</v>
      </c>
      <c r="E782" s="3" t="s">
        <v>24</v>
      </c>
      <c r="F782" s="3" t="n">
        <v>5</v>
      </c>
      <c r="G782" s="4" t="n">
        <v>6500</v>
      </c>
      <c r="H782" s="4" t="n">
        <f aca="false">F782*G782</f>
        <v>32500</v>
      </c>
    </row>
    <row r="783" customFormat="false" ht="15" hidden="false" customHeight="false" outlineLevel="0" collapsed="false">
      <c r="A783" s="3" t="s">
        <v>951</v>
      </c>
      <c r="B783" s="3" t="s">
        <v>947</v>
      </c>
      <c r="C783" s="3" t="s">
        <v>6</v>
      </c>
      <c r="D783" s="3" t="s">
        <v>29</v>
      </c>
      <c r="E783" s="3" t="s">
        <v>27</v>
      </c>
      <c r="F783" s="3" t="n">
        <v>2</v>
      </c>
      <c r="G783" s="4" t="n">
        <v>45000</v>
      </c>
      <c r="H783" s="4" t="n">
        <f aca="false">F783*G783</f>
        <v>90000</v>
      </c>
    </row>
    <row r="784" customFormat="false" ht="15" hidden="false" customHeight="false" outlineLevel="0" collapsed="false">
      <c r="A784" s="3" t="s">
        <v>952</v>
      </c>
      <c r="B784" s="3" t="s">
        <v>947</v>
      </c>
      <c r="C784" s="3" t="s">
        <v>6</v>
      </c>
      <c r="D784" s="3" t="s">
        <v>26</v>
      </c>
      <c r="E784" s="3" t="s">
        <v>24</v>
      </c>
      <c r="F784" s="3" t="n">
        <v>1</v>
      </c>
      <c r="G784" s="4" t="n">
        <v>2500</v>
      </c>
      <c r="H784" s="4" t="n">
        <f aca="false">F784*G784</f>
        <v>2500</v>
      </c>
    </row>
    <row r="785" customFormat="false" ht="15" hidden="false" customHeight="false" outlineLevel="0" collapsed="false">
      <c r="A785" s="3" t="s">
        <v>953</v>
      </c>
      <c r="B785" s="3" t="s">
        <v>947</v>
      </c>
      <c r="C785" s="3" t="s">
        <v>12</v>
      </c>
      <c r="D785" s="3" t="s">
        <v>26</v>
      </c>
      <c r="E785" s="3" t="s">
        <v>24</v>
      </c>
      <c r="F785" s="3" t="n">
        <v>2</v>
      </c>
      <c r="G785" s="4" t="n">
        <v>2500</v>
      </c>
      <c r="H785" s="4" t="n">
        <f aca="false">F785*G785</f>
        <v>5000</v>
      </c>
    </row>
    <row r="786" customFormat="false" ht="15" hidden="false" customHeight="false" outlineLevel="0" collapsed="false">
      <c r="A786" s="3" t="s">
        <v>954</v>
      </c>
      <c r="B786" s="3" t="s">
        <v>947</v>
      </c>
      <c r="C786" s="3" t="s">
        <v>6</v>
      </c>
      <c r="D786" s="3" t="s">
        <v>23</v>
      </c>
      <c r="E786" s="3" t="s">
        <v>24</v>
      </c>
      <c r="F786" s="3" t="n">
        <v>4</v>
      </c>
      <c r="G786" s="4" t="n">
        <v>6500</v>
      </c>
      <c r="H786" s="4" t="n">
        <f aca="false">F786*G786</f>
        <v>26000</v>
      </c>
    </row>
    <row r="787" customFormat="false" ht="15" hidden="false" customHeight="false" outlineLevel="0" collapsed="false">
      <c r="A787" s="3" t="s">
        <v>955</v>
      </c>
      <c r="B787" s="3" t="s">
        <v>956</v>
      </c>
      <c r="C787" s="3" t="s">
        <v>12</v>
      </c>
      <c r="D787" s="3" t="s">
        <v>23</v>
      </c>
      <c r="E787" s="3" t="s">
        <v>24</v>
      </c>
      <c r="F787" s="3" t="n">
        <v>1</v>
      </c>
      <c r="G787" s="4" t="n">
        <v>6500</v>
      </c>
      <c r="H787" s="4" t="n">
        <f aca="false">F787*G787</f>
        <v>6500</v>
      </c>
    </row>
    <row r="788" customFormat="false" ht="15" hidden="false" customHeight="false" outlineLevel="0" collapsed="false">
      <c r="A788" s="3" t="s">
        <v>957</v>
      </c>
      <c r="B788" s="3" t="s">
        <v>956</v>
      </c>
      <c r="C788" s="3" t="s">
        <v>6</v>
      </c>
      <c r="D788" s="3" t="s">
        <v>31</v>
      </c>
      <c r="E788" s="3" t="s">
        <v>27</v>
      </c>
      <c r="F788" s="3" t="n">
        <v>1</v>
      </c>
      <c r="G788" s="4" t="n">
        <v>62000</v>
      </c>
      <c r="H788" s="4" t="n">
        <f aca="false">F788*G788</f>
        <v>62000</v>
      </c>
    </row>
    <row r="789" customFormat="false" ht="15" hidden="false" customHeight="false" outlineLevel="0" collapsed="false">
      <c r="A789" s="3" t="s">
        <v>958</v>
      </c>
      <c r="B789" s="3" t="s">
        <v>956</v>
      </c>
      <c r="C789" s="3" t="s">
        <v>10</v>
      </c>
      <c r="D789" s="3" t="s">
        <v>29</v>
      </c>
      <c r="E789" s="3" t="s">
        <v>27</v>
      </c>
      <c r="F789" s="3" t="n">
        <v>2</v>
      </c>
      <c r="G789" s="4" t="n">
        <v>45000</v>
      </c>
      <c r="H789" s="4" t="n">
        <f aca="false">F789*G789</f>
        <v>90000</v>
      </c>
    </row>
    <row r="790" customFormat="false" ht="15" hidden="false" customHeight="false" outlineLevel="0" collapsed="false">
      <c r="A790" s="3" t="s">
        <v>959</v>
      </c>
      <c r="B790" s="3" t="s">
        <v>956</v>
      </c>
      <c r="C790" s="3" t="s">
        <v>10</v>
      </c>
      <c r="D790" s="3" t="s">
        <v>34</v>
      </c>
      <c r="E790" s="3" t="s">
        <v>24</v>
      </c>
      <c r="F790" s="3" t="n">
        <v>2</v>
      </c>
      <c r="G790" s="4" t="n">
        <v>18500</v>
      </c>
      <c r="H790" s="4" t="n">
        <f aca="false">F790*G790</f>
        <v>37000</v>
      </c>
    </row>
    <row r="791" customFormat="false" ht="15" hidden="false" customHeight="false" outlineLevel="0" collapsed="false">
      <c r="A791" s="3" t="s">
        <v>960</v>
      </c>
      <c r="B791" s="3" t="s">
        <v>961</v>
      </c>
      <c r="C791" s="3" t="s">
        <v>6</v>
      </c>
      <c r="D791" s="3" t="s">
        <v>23</v>
      </c>
      <c r="E791" s="3" t="s">
        <v>24</v>
      </c>
      <c r="F791" s="3" t="n">
        <v>2</v>
      </c>
      <c r="G791" s="4" t="n">
        <v>6500</v>
      </c>
      <c r="H791" s="4" t="n">
        <f aca="false">F791*G791</f>
        <v>13000</v>
      </c>
    </row>
    <row r="792" customFormat="false" ht="15" hidden="false" customHeight="false" outlineLevel="0" collapsed="false">
      <c r="A792" s="3" t="s">
        <v>962</v>
      </c>
      <c r="B792" s="3" t="s">
        <v>961</v>
      </c>
      <c r="C792" s="3" t="s">
        <v>10</v>
      </c>
      <c r="D792" s="3" t="s">
        <v>23</v>
      </c>
      <c r="E792" s="3" t="s">
        <v>27</v>
      </c>
      <c r="F792" s="3" t="n">
        <v>4</v>
      </c>
      <c r="G792" s="4" t="n">
        <v>6500</v>
      </c>
      <c r="H792" s="4" t="n">
        <f aca="false">F792*G792</f>
        <v>26000</v>
      </c>
    </row>
    <row r="793" customFormat="false" ht="15" hidden="false" customHeight="false" outlineLevel="0" collapsed="false">
      <c r="A793" s="3" t="s">
        <v>963</v>
      </c>
      <c r="B793" s="3" t="s">
        <v>961</v>
      </c>
      <c r="C793" s="3" t="s">
        <v>6</v>
      </c>
      <c r="D793" s="3" t="s">
        <v>40</v>
      </c>
      <c r="E793" s="3" t="s">
        <v>24</v>
      </c>
      <c r="F793" s="3" t="n">
        <v>2</v>
      </c>
      <c r="G793" s="4" t="n">
        <v>28000</v>
      </c>
      <c r="H793" s="4" t="n">
        <f aca="false">F793*G793</f>
        <v>56000</v>
      </c>
    </row>
    <row r="794" customFormat="false" ht="15" hidden="false" customHeight="false" outlineLevel="0" collapsed="false">
      <c r="A794" s="3" t="s">
        <v>964</v>
      </c>
      <c r="B794" s="3" t="s">
        <v>961</v>
      </c>
      <c r="C794" s="3" t="s">
        <v>12</v>
      </c>
      <c r="D794" s="3" t="s">
        <v>26</v>
      </c>
      <c r="E794" s="3" t="s">
        <v>27</v>
      </c>
      <c r="F794" s="3" t="n">
        <v>1</v>
      </c>
      <c r="G794" s="4" t="n">
        <v>2500</v>
      </c>
      <c r="H794" s="4" t="n">
        <f aca="false">F794*G794</f>
        <v>2500</v>
      </c>
    </row>
    <row r="795" customFormat="false" ht="15" hidden="false" customHeight="false" outlineLevel="0" collapsed="false">
      <c r="A795" s="3" t="s">
        <v>965</v>
      </c>
      <c r="B795" s="3" t="s">
        <v>961</v>
      </c>
      <c r="C795" s="3" t="s">
        <v>6</v>
      </c>
      <c r="D795" s="3" t="s">
        <v>34</v>
      </c>
      <c r="E795" s="3" t="s">
        <v>27</v>
      </c>
      <c r="F795" s="3" t="n">
        <v>1</v>
      </c>
      <c r="G795" s="4" t="n">
        <v>18500</v>
      </c>
      <c r="H795" s="4" t="n">
        <f aca="false">F795*G795</f>
        <v>18500</v>
      </c>
    </row>
    <row r="796" customFormat="false" ht="15" hidden="false" customHeight="false" outlineLevel="0" collapsed="false">
      <c r="A796" s="3" t="s">
        <v>966</v>
      </c>
      <c r="B796" s="3" t="s">
        <v>961</v>
      </c>
      <c r="C796" s="3" t="s">
        <v>6</v>
      </c>
      <c r="D796" s="3" t="s">
        <v>40</v>
      </c>
      <c r="E796" s="3" t="s">
        <v>24</v>
      </c>
      <c r="F796" s="3" t="n">
        <v>1</v>
      </c>
      <c r="G796" s="4" t="n">
        <v>28000</v>
      </c>
      <c r="H796" s="4" t="n">
        <f aca="false">F796*G796</f>
        <v>28000</v>
      </c>
    </row>
    <row r="797" customFormat="false" ht="15" hidden="false" customHeight="false" outlineLevel="0" collapsed="false">
      <c r="A797" s="3" t="s">
        <v>967</v>
      </c>
      <c r="B797" s="3" t="s">
        <v>961</v>
      </c>
      <c r="C797" s="3" t="s">
        <v>10</v>
      </c>
      <c r="D797" s="3" t="s">
        <v>34</v>
      </c>
      <c r="E797" s="3" t="s">
        <v>27</v>
      </c>
      <c r="F797" s="3" t="n">
        <v>2</v>
      </c>
      <c r="G797" s="4" t="n">
        <v>18500</v>
      </c>
      <c r="H797" s="4" t="n">
        <f aca="false">F797*G797</f>
        <v>37000</v>
      </c>
    </row>
    <row r="798" customFormat="false" ht="15" hidden="false" customHeight="false" outlineLevel="0" collapsed="false">
      <c r="A798" s="3" t="s">
        <v>968</v>
      </c>
      <c r="B798" s="3" t="s">
        <v>961</v>
      </c>
      <c r="C798" s="3" t="s">
        <v>6</v>
      </c>
      <c r="D798" s="3" t="s">
        <v>26</v>
      </c>
      <c r="E798" s="3" t="s">
        <v>27</v>
      </c>
      <c r="F798" s="3" t="n">
        <v>3</v>
      </c>
      <c r="G798" s="4" t="n">
        <v>2500</v>
      </c>
      <c r="H798" s="4" t="n">
        <f aca="false">F798*G798</f>
        <v>7500</v>
      </c>
    </row>
    <row r="799" customFormat="false" ht="15" hidden="false" customHeight="false" outlineLevel="0" collapsed="false">
      <c r="A799" s="3" t="s">
        <v>969</v>
      </c>
      <c r="B799" s="3" t="s">
        <v>961</v>
      </c>
      <c r="C799" s="3" t="s">
        <v>6</v>
      </c>
      <c r="D799" s="3" t="s">
        <v>23</v>
      </c>
      <c r="E799" s="3" t="s">
        <v>27</v>
      </c>
      <c r="F799" s="3" t="n">
        <v>4</v>
      </c>
      <c r="G799" s="4" t="n">
        <v>6500</v>
      </c>
      <c r="H799" s="4" t="n">
        <f aca="false">F799*G799</f>
        <v>26000</v>
      </c>
    </row>
    <row r="800" customFormat="false" ht="15" hidden="false" customHeight="false" outlineLevel="0" collapsed="false">
      <c r="A800" s="3" t="s">
        <v>970</v>
      </c>
      <c r="B800" s="3" t="s">
        <v>961</v>
      </c>
      <c r="C800" s="3" t="s">
        <v>10</v>
      </c>
      <c r="D800" s="3" t="s">
        <v>31</v>
      </c>
      <c r="E800" s="3" t="s">
        <v>24</v>
      </c>
      <c r="F800" s="3" t="n">
        <v>2</v>
      </c>
      <c r="G800" s="4" t="n">
        <v>62000</v>
      </c>
      <c r="H800" s="4" t="n">
        <f aca="false">F800*G800</f>
        <v>124000</v>
      </c>
    </row>
    <row r="801" customFormat="false" ht="15" hidden="false" customHeight="false" outlineLevel="0" collapsed="false">
      <c r="A801" s="3" t="s">
        <v>971</v>
      </c>
      <c r="B801" s="3" t="s">
        <v>972</v>
      </c>
      <c r="C801" s="3" t="s">
        <v>11</v>
      </c>
      <c r="D801" s="3" t="s">
        <v>34</v>
      </c>
      <c r="E801" s="3" t="s">
        <v>24</v>
      </c>
      <c r="F801" s="3" t="n">
        <v>2</v>
      </c>
      <c r="G801" s="4" t="n">
        <v>18500</v>
      </c>
      <c r="H801" s="4" t="n">
        <f aca="false">F801*G801</f>
        <v>37000</v>
      </c>
    </row>
    <row r="802" customFormat="false" ht="15" hidden="false" customHeight="false" outlineLevel="0" collapsed="false">
      <c r="A802" s="3" t="s">
        <v>973</v>
      </c>
      <c r="B802" s="3" t="s">
        <v>972</v>
      </c>
      <c r="C802" s="3" t="s">
        <v>6</v>
      </c>
      <c r="D802" s="3" t="s">
        <v>23</v>
      </c>
      <c r="E802" s="3" t="s">
        <v>27</v>
      </c>
      <c r="F802" s="3" t="n">
        <v>4</v>
      </c>
      <c r="G802" s="4" t="n">
        <v>6500</v>
      </c>
      <c r="H802" s="4" t="n">
        <f aca="false">F802*G802</f>
        <v>26000</v>
      </c>
    </row>
    <row r="803" customFormat="false" ht="15" hidden="false" customHeight="false" outlineLevel="0" collapsed="false">
      <c r="A803" s="3" t="s">
        <v>974</v>
      </c>
      <c r="B803" s="3" t="s">
        <v>972</v>
      </c>
      <c r="C803" s="3" t="s">
        <v>10</v>
      </c>
      <c r="D803" s="3" t="s">
        <v>31</v>
      </c>
      <c r="E803" s="3" t="s">
        <v>27</v>
      </c>
      <c r="F803" s="3" t="n">
        <v>2</v>
      </c>
      <c r="G803" s="4" t="n">
        <v>62000</v>
      </c>
      <c r="H803" s="4" t="n">
        <f aca="false">F803*G803</f>
        <v>124000</v>
      </c>
    </row>
    <row r="804" customFormat="false" ht="15" hidden="false" customHeight="false" outlineLevel="0" collapsed="false">
      <c r="A804" s="3" t="s">
        <v>975</v>
      </c>
      <c r="B804" s="3" t="s">
        <v>972</v>
      </c>
      <c r="C804" s="3" t="s">
        <v>11</v>
      </c>
      <c r="D804" s="3" t="s">
        <v>34</v>
      </c>
      <c r="E804" s="3" t="s">
        <v>24</v>
      </c>
      <c r="F804" s="3" t="n">
        <v>2</v>
      </c>
      <c r="G804" s="4" t="n">
        <v>18500</v>
      </c>
      <c r="H804" s="4" t="n">
        <f aca="false">F804*G804</f>
        <v>37000</v>
      </c>
    </row>
    <row r="805" customFormat="false" ht="15" hidden="false" customHeight="false" outlineLevel="0" collapsed="false">
      <c r="A805" s="3" t="s">
        <v>976</v>
      </c>
      <c r="B805" s="3" t="s">
        <v>977</v>
      </c>
      <c r="C805" s="3" t="s">
        <v>8</v>
      </c>
      <c r="D805" s="3" t="s">
        <v>34</v>
      </c>
      <c r="E805" s="3" t="s">
        <v>27</v>
      </c>
      <c r="F805" s="3" t="n">
        <v>1</v>
      </c>
      <c r="G805" s="4" t="n">
        <v>18500</v>
      </c>
      <c r="H805" s="4" t="n">
        <f aca="false">F805*G805</f>
        <v>18500</v>
      </c>
    </row>
    <row r="806" customFormat="false" ht="15" hidden="false" customHeight="false" outlineLevel="0" collapsed="false">
      <c r="A806" s="3" t="s">
        <v>978</v>
      </c>
      <c r="B806" s="3" t="s">
        <v>977</v>
      </c>
      <c r="C806" s="3" t="s">
        <v>6</v>
      </c>
      <c r="D806" s="3" t="s">
        <v>34</v>
      </c>
      <c r="E806" s="3" t="s">
        <v>27</v>
      </c>
      <c r="F806" s="3" t="n">
        <v>2</v>
      </c>
      <c r="G806" s="4" t="n">
        <v>18500</v>
      </c>
      <c r="H806" s="4" t="n">
        <f aca="false">F806*G806</f>
        <v>37000</v>
      </c>
    </row>
    <row r="807" customFormat="false" ht="15" hidden="false" customHeight="false" outlineLevel="0" collapsed="false">
      <c r="A807" s="3" t="s">
        <v>979</v>
      </c>
      <c r="B807" s="3" t="s">
        <v>977</v>
      </c>
      <c r="C807" s="3" t="s">
        <v>11</v>
      </c>
      <c r="D807" s="3" t="s">
        <v>26</v>
      </c>
      <c r="E807" s="3" t="s">
        <v>27</v>
      </c>
      <c r="F807" s="3" t="n">
        <v>1</v>
      </c>
      <c r="G807" s="4" t="n">
        <v>2500</v>
      </c>
      <c r="H807" s="4" t="n">
        <f aca="false">F807*G807</f>
        <v>2500</v>
      </c>
    </row>
    <row r="808" customFormat="false" ht="15" hidden="false" customHeight="false" outlineLevel="0" collapsed="false">
      <c r="A808" s="3" t="s">
        <v>980</v>
      </c>
      <c r="B808" s="3" t="s">
        <v>981</v>
      </c>
      <c r="C808" s="3" t="s">
        <v>6</v>
      </c>
      <c r="D808" s="3" t="s">
        <v>29</v>
      </c>
      <c r="E808" s="3" t="s">
        <v>24</v>
      </c>
      <c r="F808" s="3" t="n">
        <v>2</v>
      </c>
      <c r="G808" s="4" t="n">
        <v>45000</v>
      </c>
      <c r="H808" s="4" t="n">
        <f aca="false">F808*G808</f>
        <v>90000</v>
      </c>
    </row>
    <row r="809" customFormat="false" ht="15" hidden="false" customHeight="false" outlineLevel="0" collapsed="false">
      <c r="A809" s="3" t="s">
        <v>982</v>
      </c>
      <c r="B809" s="3" t="s">
        <v>981</v>
      </c>
      <c r="C809" s="3" t="s">
        <v>10</v>
      </c>
      <c r="D809" s="3" t="s">
        <v>26</v>
      </c>
      <c r="E809" s="3" t="s">
        <v>27</v>
      </c>
      <c r="F809" s="3" t="n">
        <v>2</v>
      </c>
      <c r="G809" s="4" t="n">
        <v>2500</v>
      </c>
      <c r="H809" s="4" t="n">
        <f aca="false">F809*G809</f>
        <v>5000</v>
      </c>
    </row>
    <row r="810" customFormat="false" ht="15" hidden="false" customHeight="false" outlineLevel="0" collapsed="false">
      <c r="A810" s="3" t="s">
        <v>983</v>
      </c>
      <c r="B810" s="3" t="s">
        <v>981</v>
      </c>
      <c r="C810" s="3" t="s">
        <v>8</v>
      </c>
      <c r="D810" s="3" t="s">
        <v>29</v>
      </c>
      <c r="E810" s="3" t="s">
        <v>27</v>
      </c>
      <c r="F810" s="3" t="n">
        <v>2</v>
      </c>
      <c r="G810" s="4" t="n">
        <v>45000</v>
      </c>
      <c r="H810" s="4" t="n">
        <f aca="false">F810*G810</f>
        <v>90000</v>
      </c>
    </row>
    <row r="811" customFormat="false" ht="15" hidden="false" customHeight="false" outlineLevel="0" collapsed="false">
      <c r="A811" s="3" t="s">
        <v>984</v>
      </c>
      <c r="B811" s="3" t="s">
        <v>981</v>
      </c>
      <c r="C811" s="3" t="s">
        <v>8</v>
      </c>
      <c r="D811" s="3" t="s">
        <v>31</v>
      </c>
      <c r="E811" s="3" t="s">
        <v>24</v>
      </c>
      <c r="F811" s="3" t="n">
        <v>1</v>
      </c>
      <c r="G811" s="4" t="n">
        <v>62000</v>
      </c>
      <c r="H811" s="4" t="n">
        <f aca="false">F811*G811</f>
        <v>62000</v>
      </c>
    </row>
    <row r="812" customFormat="false" ht="15" hidden="false" customHeight="false" outlineLevel="0" collapsed="false">
      <c r="A812" s="3" t="s">
        <v>985</v>
      </c>
      <c r="B812" s="3" t="s">
        <v>986</v>
      </c>
      <c r="C812" s="3" t="s">
        <v>10</v>
      </c>
      <c r="D812" s="3" t="s">
        <v>40</v>
      </c>
      <c r="E812" s="3" t="s">
        <v>27</v>
      </c>
      <c r="F812" s="3" t="n">
        <v>1</v>
      </c>
      <c r="G812" s="4" t="n">
        <v>28000</v>
      </c>
      <c r="H812" s="4" t="n">
        <f aca="false">F812*G812</f>
        <v>28000</v>
      </c>
    </row>
    <row r="813" customFormat="false" ht="15" hidden="false" customHeight="false" outlineLevel="0" collapsed="false">
      <c r="A813" s="3" t="s">
        <v>987</v>
      </c>
      <c r="B813" s="3" t="s">
        <v>986</v>
      </c>
      <c r="C813" s="3" t="s">
        <v>11</v>
      </c>
      <c r="D813" s="3" t="s">
        <v>34</v>
      </c>
      <c r="E813" s="3" t="s">
        <v>24</v>
      </c>
      <c r="F813" s="3" t="n">
        <v>1</v>
      </c>
      <c r="G813" s="4" t="n">
        <v>18500</v>
      </c>
      <c r="H813" s="4" t="n">
        <f aca="false">F813*G813</f>
        <v>18500</v>
      </c>
    </row>
    <row r="814" customFormat="false" ht="15" hidden="false" customHeight="false" outlineLevel="0" collapsed="false">
      <c r="A814" s="3" t="s">
        <v>988</v>
      </c>
      <c r="B814" s="3" t="s">
        <v>986</v>
      </c>
      <c r="C814" s="3" t="s">
        <v>11</v>
      </c>
      <c r="D814" s="3" t="s">
        <v>23</v>
      </c>
      <c r="E814" s="3" t="s">
        <v>24</v>
      </c>
      <c r="F814" s="3" t="n">
        <v>1</v>
      </c>
      <c r="G814" s="4" t="n">
        <v>6500</v>
      </c>
      <c r="H814" s="4" t="n">
        <f aca="false">F814*G814</f>
        <v>6500</v>
      </c>
    </row>
    <row r="815" customFormat="false" ht="15" hidden="false" customHeight="false" outlineLevel="0" collapsed="false">
      <c r="A815" s="3" t="s">
        <v>989</v>
      </c>
      <c r="B815" s="3" t="s">
        <v>986</v>
      </c>
      <c r="C815" s="3" t="s">
        <v>8</v>
      </c>
      <c r="D815" s="3" t="s">
        <v>23</v>
      </c>
      <c r="E815" s="3" t="s">
        <v>24</v>
      </c>
      <c r="F815" s="3" t="n">
        <v>1</v>
      </c>
      <c r="G815" s="4" t="n">
        <v>6500</v>
      </c>
      <c r="H815" s="4" t="n">
        <f aca="false">F815*G815</f>
        <v>6500</v>
      </c>
    </row>
    <row r="816" customFormat="false" ht="15" hidden="false" customHeight="false" outlineLevel="0" collapsed="false">
      <c r="A816" s="3" t="s">
        <v>990</v>
      </c>
      <c r="B816" s="3" t="s">
        <v>986</v>
      </c>
      <c r="C816" s="3" t="s">
        <v>8</v>
      </c>
      <c r="D816" s="3" t="s">
        <v>34</v>
      </c>
      <c r="E816" s="3" t="s">
        <v>27</v>
      </c>
      <c r="F816" s="3" t="n">
        <v>2</v>
      </c>
      <c r="G816" s="4" t="n">
        <v>18500</v>
      </c>
      <c r="H816" s="4" t="n">
        <f aca="false">F816*G816</f>
        <v>37000</v>
      </c>
    </row>
    <row r="817" customFormat="false" ht="15" hidden="false" customHeight="false" outlineLevel="0" collapsed="false">
      <c r="A817" s="3" t="s">
        <v>991</v>
      </c>
      <c r="B817" s="3" t="s">
        <v>986</v>
      </c>
      <c r="C817" s="3" t="s">
        <v>11</v>
      </c>
      <c r="D817" s="3" t="s">
        <v>23</v>
      </c>
      <c r="E817" s="3" t="s">
        <v>24</v>
      </c>
      <c r="F817" s="3" t="n">
        <v>3</v>
      </c>
      <c r="G817" s="4" t="n">
        <v>6500</v>
      </c>
      <c r="H817" s="4" t="n">
        <f aca="false">F817*G817</f>
        <v>19500</v>
      </c>
    </row>
    <row r="818" customFormat="false" ht="15" hidden="false" customHeight="false" outlineLevel="0" collapsed="false">
      <c r="A818" s="3" t="s">
        <v>992</v>
      </c>
      <c r="B818" s="3" t="s">
        <v>993</v>
      </c>
      <c r="C818" s="3" t="s">
        <v>11</v>
      </c>
      <c r="D818" s="3" t="s">
        <v>34</v>
      </c>
      <c r="E818" s="3" t="s">
        <v>24</v>
      </c>
      <c r="F818" s="3" t="n">
        <v>1</v>
      </c>
      <c r="G818" s="4" t="n">
        <v>18500</v>
      </c>
      <c r="H818" s="4" t="n">
        <f aca="false">F818*G818</f>
        <v>18500</v>
      </c>
    </row>
    <row r="819" customFormat="false" ht="15" hidden="false" customHeight="false" outlineLevel="0" collapsed="false">
      <c r="A819" s="3" t="s">
        <v>994</v>
      </c>
      <c r="B819" s="3" t="s">
        <v>993</v>
      </c>
      <c r="C819" s="3" t="s">
        <v>11</v>
      </c>
      <c r="D819" s="3" t="s">
        <v>26</v>
      </c>
      <c r="E819" s="3" t="s">
        <v>24</v>
      </c>
      <c r="F819" s="3" t="n">
        <v>2</v>
      </c>
      <c r="G819" s="4" t="n">
        <v>2500</v>
      </c>
      <c r="H819" s="4" t="n">
        <f aca="false">F819*G819</f>
        <v>5000</v>
      </c>
    </row>
    <row r="820" customFormat="false" ht="15" hidden="false" customHeight="false" outlineLevel="0" collapsed="false">
      <c r="A820" s="3" t="s">
        <v>995</v>
      </c>
      <c r="B820" s="3" t="s">
        <v>993</v>
      </c>
      <c r="C820" s="3" t="s">
        <v>6</v>
      </c>
      <c r="D820" s="3" t="s">
        <v>31</v>
      </c>
      <c r="E820" s="3" t="s">
        <v>27</v>
      </c>
      <c r="F820" s="3" t="n">
        <v>1</v>
      </c>
      <c r="G820" s="4" t="n">
        <v>62000</v>
      </c>
      <c r="H820" s="4" t="n">
        <f aca="false">F820*G820</f>
        <v>62000</v>
      </c>
    </row>
    <row r="821" customFormat="false" ht="15" hidden="false" customHeight="false" outlineLevel="0" collapsed="false">
      <c r="A821" s="3" t="s">
        <v>996</v>
      </c>
      <c r="B821" s="3" t="s">
        <v>993</v>
      </c>
      <c r="C821" s="3" t="s">
        <v>6</v>
      </c>
      <c r="D821" s="3" t="s">
        <v>26</v>
      </c>
      <c r="E821" s="3" t="s">
        <v>27</v>
      </c>
      <c r="F821" s="3" t="n">
        <v>2</v>
      </c>
      <c r="G821" s="4" t="n">
        <v>2500</v>
      </c>
      <c r="H821" s="4" t="n">
        <f aca="false">F821*G821</f>
        <v>5000</v>
      </c>
    </row>
    <row r="822" customFormat="false" ht="15" hidden="false" customHeight="false" outlineLevel="0" collapsed="false">
      <c r="A822" s="3" t="s">
        <v>997</v>
      </c>
      <c r="B822" s="3" t="s">
        <v>998</v>
      </c>
      <c r="C822" s="3" t="s">
        <v>6</v>
      </c>
      <c r="D822" s="3" t="s">
        <v>31</v>
      </c>
      <c r="E822" s="3" t="s">
        <v>27</v>
      </c>
      <c r="F822" s="3" t="n">
        <v>2</v>
      </c>
      <c r="G822" s="4" t="n">
        <v>62000</v>
      </c>
      <c r="H822" s="4" t="n">
        <f aca="false">F822*G822</f>
        <v>124000</v>
      </c>
    </row>
    <row r="823" customFormat="false" ht="15" hidden="false" customHeight="false" outlineLevel="0" collapsed="false">
      <c r="A823" s="3" t="s">
        <v>999</v>
      </c>
      <c r="B823" s="3" t="s">
        <v>998</v>
      </c>
      <c r="C823" s="3" t="s">
        <v>12</v>
      </c>
      <c r="D823" s="3" t="s">
        <v>26</v>
      </c>
      <c r="E823" s="3" t="s">
        <v>27</v>
      </c>
      <c r="F823" s="3" t="n">
        <v>4</v>
      </c>
      <c r="G823" s="4" t="n">
        <v>2500</v>
      </c>
      <c r="H823" s="4" t="n">
        <f aca="false">F823*G823</f>
        <v>10000</v>
      </c>
    </row>
    <row r="824" customFormat="false" ht="15" hidden="false" customHeight="false" outlineLevel="0" collapsed="false">
      <c r="A824" s="3" t="s">
        <v>1000</v>
      </c>
      <c r="B824" s="3" t="s">
        <v>998</v>
      </c>
      <c r="C824" s="3" t="s">
        <v>12</v>
      </c>
      <c r="D824" s="3" t="s">
        <v>26</v>
      </c>
      <c r="E824" s="3" t="s">
        <v>24</v>
      </c>
      <c r="F824" s="3" t="n">
        <v>3</v>
      </c>
      <c r="G824" s="4" t="n">
        <v>2500</v>
      </c>
      <c r="H824" s="4" t="n">
        <f aca="false">F824*G824</f>
        <v>7500</v>
      </c>
    </row>
    <row r="825" customFormat="false" ht="15" hidden="false" customHeight="false" outlineLevel="0" collapsed="false">
      <c r="A825" s="3" t="s">
        <v>1001</v>
      </c>
      <c r="B825" s="3" t="s">
        <v>1002</v>
      </c>
      <c r="C825" s="3" t="s">
        <v>6</v>
      </c>
      <c r="D825" s="3" t="s">
        <v>34</v>
      </c>
      <c r="E825" s="3" t="s">
        <v>24</v>
      </c>
      <c r="F825" s="3" t="n">
        <v>1</v>
      </c>
      <c r="G825" s="4" t="n">
        <v>18500</v>
      </c>
      <c r="H825" s="4" t="n">
        <f aca="false">F825*G825</f>
        <v>18500</v>
      </c>
    </row>
    <row r="826" customFormat="false" ht="15" hidden="false" customHeight="false" outlineLevel="0" collapsed="false">
      <c r="A826" s="3" t="s">
        <v>1003</v>
      </c>
      <c r="B826" s="3" t="s">
        <v>1002</v>
      </c>
      <c r="C826" s="3" t="s">
        <v>12</v>
      </c>
      <c r="D826" s="3" t="s">
        <v>29</v>
      </c>
      <c r="E826" s="3" t="s">
        <v>27</v>
      </c>
      <c r="F826" s="3" t="n">
        <v>1</v>
      </c>
      <c r="G826" s="4" t="n">
        <v>45000</v>
      </c>
      <c r="H826" s="4" t="n">
        <f aca="false">F826*G826</f>
        <v>45000</v>
      </c>
    </row>
    <row r="827" customFormat="false" ht="15" hidden="false" customHeight="false" outlineLevel="0" collapsed="false">
      <c r="A827" s="3" t="s">
        <v>1004</v>
      </c>
      <c r="B827" s="3" t="s">
        <v>1002</v>
      </c>
      <c r="C827" s="3" t="s">
        <v>12</v>
      </c>
      <c r="D827" s="3" t="s">
        <v>23</v>
      </c>
      <c r="E827" s="3" t="s">
        <v>27</v>
      </c>
      <c r="F827" s="3" t="n">
        <v>3</v>
      </c>
      <c r="G827" s="4" t="n">
        <v>6500</v>
      </c>
      <c r="H827" s="4" t="n">
        <f aca="false">F827*G827</f>
        <v>19500</v>
      </c>
    </row>
    <row r="828" customFormat="false" ht="15" hidden="false" customHeight="false" outlineLevel="0" collapsed="false">
      <c r="A828" s="3" t="s">
        <v>1005</v>
      </c>
      <c r="B828" s="3" t="s">
        <v>1002</v>
      </c>
      <c r="C828" s="3" t="s">
        <v>8</v>
      </c>
      <c r="D828" s="3" t="s">
        <v>29</v>
      </c>
      <c r="E828" s="3" t="s">
        <v>27</v>
      </c>
      <c r="F828" s="3" t="n">
        <v>1</v>
      </c>
      <c r="G828" s="4" t="n">
        <v>45000</v>
      </c>
      <c r="H828" s="4" t="n">
        <f aca="false">F828*G828</f>
        <v>45000</v>
      </c>
    </row>
    <row r="829" customFormat="false" ht="15" hidden="false" customHeight="false" outlineLevel="0" collapsed="false">
      <c r="A829" s="3" t="s">
        <v>1006</v>
      </c>
      <c r="B829" s="3" t="s">
        <v>1002</v>
      </c>
      <c r="C829" s="3" t="s">
        <v>6</v>
      </c>
      <c r="D829" s="3" t="s">
        <v>26</v>
      </c>
      <c r="E829" s="3" t="s">
        <v>27</v>
      </c>
      <c r="F829" s="3" t="n">
        <v>2</v>
      </c>
      <c r="G829" s="4" t="n">
        <v>2500</v>
      </c>
      <c r="H829" s="4" t="n">
        <f aca="false">F829*G829</f>
        <v>5000</v>
      </c>
    </row>
    <row r="830" customFormat="false" ht="15" hidden="false" customHeight="false" outlineLevel="0" collapsed="false">
      <c r="A830" s="3" t="s">
        <v>1007</v>
      </c>
      <c r="B830" s="3" t="s">
        <v>1002</v>
      </c>
      <c r="C830" s="3" t="s">
        <v>10</v>
      </c>
      <c r="D830" s="3" t="s">
        <v>23</v>
      </c>
      <c r="E830" s="3" t="s">
        <v>27</v>
      </c>
      <c r="F830" s="3" t="n">
        <v>5</v>
      </c>
      <c r="G830" s="4" t="n">
        <v>6500</v>
      </c>
      <c r="H830" s="4" t="n">
        <f aca="false">F830*G830</f>
        <v>32500</v>
      </c>
    </row>
    <row r="831" customFormat="false" ht="15" hidden="false" customHeight="false" outlineLevel="0" collapsed="false">
      <c r="A831" s="3" t="s">
        <v>1008</v>
      </c>
      <c r="B831" s="3" t="s">
        <v>1002</v>
      </c>
      <c r="C831" s="3" t="s">
        <v>8</v>
      </c>
      <c r="D831" s="3" t="s">
        <v>34</v>
      </c>
      <c r="E831" s="3" t="s">
        <v>24</v>
      </c>
      <c r="F831" s="3" t="n">
        <v>2</v>
      </c>
      <c r="G831" s="4" t="n">
        <v>18500</v>
      </c>
      <c r="H831" s="4" t="n">
        <f aca="false">F831*G831</f>
        <v>37000</v>
      </c>
    </row>
    <row r="832" customFormat="false" ht="15" hidden="false" customHeight="false" outlineLevel="0" collapsed="false">
      <c r="A832" s="3" t="s">
        <v>1009</v>
      </c>
      <c r="B832" s="3" t="s">
        <v>1002</v>
      </c>
      <c r="C832" s="3" t="s">
        <v>6</v>
      </c>
      <c r="D832" s="3" t="s">
        <v>34</v>
      </c>
      <c r="E832" s="3" t="s">
        <v>24</v>
      </c>
      <c r="F832" s="3" t="n">
        <v>1</v>
      </c>
      <c r="G832" s="4" t="n">
        <v>18500</v>
      </c>
      <c r="H832" s="4" t="n">
        <f aca="false">F832*G832</f>
        <v>18500</v>
      </c>
    </row>
    <row r="833" customFormat="false" ht="15" hidden="false" customHeight="false" outlineLevel="0" collapsed="false">
      <c r="A833" s="3" t="s">
        <v>1010</v>
      </c>
      <c r="B833" s="3" t="s">
        <v>1011</v>
      </c>
      <c r="C833" s="3" t="s">
        <v>6</v>
      </c>
      <c r="D833" s="3" t="s">
        <v>34</v>
      </c>
      <c r="E833" s="3" t="s">
        <v>24</v>
      </c>
      <c r="F833" s="3" t="n">
        <v>1</v>
      </c>
      <c r="G833" s="4" t="n">
        <v>18500</v>
      </c>
      <c r="H833" s="4" t="n">
        <f aca="false">F833*G833</f>
        <v>18500</v>
      </c>
    </row>
    <row r="834" customFormat="false" ht="15" hidden="false" customHeight="false" outlineLevel="0" collapsed="false">
      <c r="A834" s="3" t="s">
        <v>1012</v>
      </c>
      <c r="B834" s="3" t="s">
        <v>1011</v>
      </c>
      <c r="C834" s="3" t="s">
        <v>6</v>
      </c>
      <c r="D834" s="3" t="s">
        <v>29</v>
      </c>
      <c r="E834" s="3" t="s">
        <v>24</v>
      </c>
      <c r="F834" s="3" t="n">
        <v>2</v>
      </c>
      <c r="G834" s="4" t="n">
        <v>45000</v>
      </c>
      <c r="H834" s="4" t="n">
        <f aca="false">F834*G834</f>
        <v>90000</v>
      </c>
    </row>
    <row r="835" customFormat="false" ht="15" hidden="false" customHeight="false" outlineLevel="0" collapsed="false">
      <c r="A835" s="3" t="s">
        <v>1013</v>
      </c>
      <c r="B835" s="3" t="s">
        <v>1011</v>
      </c>
      <c r="C835" s="3" t="s">
        <v>8</v>
      </c>
      <c r="D835" s="3" t="s">
        <v>23</v>
      </c>
      <c r="E835" s="3" t="s">
        <v>24</v>
      </c>
      <c r="F835" s="3" t="n">
        <v>3</v>
      </c>
      <c r="G835" s="4" t="n">
        <v>6500</v>
      </c>
      <c r="H835" s="4" t="n">
        <f aca="false">F835*G835</f>
        <v>19500</v>
      </c>
    </row>
    <row r="836" customFormat="false" ht="15" hidden="false" customHeight="false" outlineLevel="0" collapsed="false">
      <c r="A836" s="3" t="s">
        <v>1014</v>
      </c>
      <c r="B836" s="3" t="s">
        <v>1015</v>
      </c>
      <c r="C836" s="3" t="s">
        <v>6</v>
      </c>
      <c r="D836" s="3" t="s">
        <v>23</v>
      </c>
      <c r="E836" s="3" t="s">
        <v>27</v>
      </c>
      <c r="F836" s="3" t="n">
        <v>1</v>
      </c>
      <c r="G836" s="4" t="n">
        <v>6500</v>
      </c>
      <c r="H836" s="4" t="n">
        <f aca="false">F836*G836</f>
        <v>6500</v>
      </c>
    </row>
    <row r="837" customFormat="false" ht="15" hidden="false" customHeight="false" outlineLevel="0" collapsed="false">
      <c r="A837" s="3" t="s">
        <v>1016</v>
      </c>
      <c r="B837" s="3" t="s">
        <v>1015</v>
      </c>
      <c r="C837" s="3" t="s">
        <v>6</v>
      </c>
      <c r="D837" s="3" t="s">
        <v>26</v>
      </c>
      <c r="E837" s="3" t="s">
        <v>24</v>
      </c>
      <c r="F837" s="3" t="n">
        <v>1</v>
      </c>
      <c r="G837" s="4" t="n">
        <v>2500</v>
      </c>
      <c r="H837" s="4" t="n">
        <f aca="false">F837*G837</f>
        <v>2500</v>
      </c>
    </row>
    <row r="838" customFormat="false" ht="15" hidden="false" customHeight="false" outlineLevel="0" collapsed="false">
      <c r="A838" s="3" t="s">
        <v>1017</v>
      </c>
      <c r="B838" s="3" t="s">
        <v>1015</v>
      </c>
      <c r="C838" s="3" t="s">
        <v>8</v>
      </c>
      <c r="D838" s="3" t="s">
        <v>26</v>
      </c>
      <c r="E838" s="3" t="s">
        <v>24</v>
      </c>
      <c r="F838" s="3" t="n">
        <v>2</v>
      </c>
      <c r="G838" s="4" t="n">
        <v>2500</v>
      </c>
      <c r="H838" s="4" t="n">
        <f aca="false">F838*G838</f>
        <v>5000</v>
      </c>
    </row>
    <row r="839" customFormat="false" ht="15" hidden="false" customHeight="false" outlineLevel="0" collapsed="false">
      <c r="A839" s="3" t="s">
        <v>1018</v>
      </c>
      <c r="B839" s="3" t="s">
        <v>1015</v>
      </c>
      <c r="C839" s="3" t="s">
        <v>12</v>
      </c>
      <c r="D839" s="3" t="s">
        <v>26</v>
      </c>
      <c r="E839" s="3" t="s">
        <v>27</v>
      </c>
      <c r="F839" s="3" t="n">
        <v>2</v>
      </c>
      <c r="G839" s="4" t="n">
        <v>2500</v>
      </c>
      <c r="H839" s="4" t="n">
        <f aca="false">F839*G839</f>
        <v>5000</v>
      </c>
    </row>
    <row r="840" customFormat="false" ht="15" hidden="false" customHeight="false" outlineLevel="0" collapsed="false">
      <c r="A840" s="3" t="s">
        <v>1019</v>
      </c>
      <c r="B840" s="3" t="s">
        <v>1020</v>
      </c>
      <c r="C840" s="3" t="s">
        <v>8</v>
      </c>
      <c r="D840" s="3" t="s">
        <v>26</v>
      </c>
      <c r="E840" s="3" t="s">
        <v>27</v>
      </c>
      <c r="F840" s="3" t="n">
        <v>4</v>
      </c>
      <c r="G840" s="4" t="n">
        <v>2500</v>
      </c>
      <c r="H840" s="4" t="n">
        <f aca="false">F840*G840</f>
        <v>10000</v>
      </c>
    </row>
    <row r="841" customFormat="false" ht="15" hidden="false" customHeight="false" outlineLevel="0" collapsed="false">
      <c r="A841" s="3" t="s">
        <v>1021</v>
      </c>
      <c r="B841" s="3" t="s">
        <v>1020</v>
      </c>
      <c r="C841" s="3" t="s">
        <v>6</v>
      </c>
      <c r="D841" s="3" t="s">
        <v>31</v>
      </c>
      <c r="E841" s="3" t="s">
        <v>27</v>
      </c>
      <c r="F841" s="3" t="n">
        <v>1</v>
      </c>
      <c r="G841" s="4" t="n">
        <v>62000</v>
      </c>
      <c r="H841" s="4" t="n">
        <f aca="false">F841*G841</f>
        <v>62000</v>
      </c>
    </row>
    <row r="842" customFormat="false" ht="15" hidden="false" customHeight="false" outlineLevel="0" collapsed="false">
      <c r="A842" s="3" t="s">
        <v>1022</v>
      </c>
      <c r="B842" s="3" t="s">
        <v>1020</v>
      </c>
      <c r="C842" s="3" t="s">
        <v>11</v>
      </c>
      <c r="D842" s="3" t="s">
        <v>34</v>
      </c>
      <c r="E842" s="3" t="s">
        <v>24</v>
      </c>
      <c r="F842" s="3" t="n">
        <v>2</v>
      </c>
      <c r="G842" s="4" t="n">
        <v>18500</v>
      </c>
      <c r="H842" s="4" t="n">
        <f aca="false">F842*G842</f>
        <v>37000</v>
      </c>
    </row>
    <row r="843" customFormat="false" ht="15" hidden="false" customHeight="false" outlineLevel="0" collapsed="false">
      <c r="A843" s="3" t="s">
        <v>1023</v>
      </c>
      <c r="B843" s="3" t="s">
        <v>1020</v>
      </c>
      <c r="C843" s="3" t="s">
        <v>6</v>
      </c>
      <c r="D843" s="3" t="s">
        <v>40</v>
      </c>
      <c r="E843" s="3" t="s">
        <v>27</v>
      </c>
      <c r="F843" s="3" t="n">
        <v>2</v>
      </c>
      <c r="G843" s="4" t="n">
        <v>28000</v>
      </c>
      <c r="H843" s="4" t="n">
        <f aca="false">F843*G843</f>
        <v>56000</v>
      </c>
    </row>
    <row r="844" customFormat="false" ht="15" hidden="false" customHeight="false" outlineLevel="0" collapsed="false">
      <c r="A844" s="3" t="s">
        <v>1024</v>
      </c>
      <c r="B844" s="3" t="s">
        <v>1020</v>
      </c>
      <c r="C844" s="3" t="s">
        <v>12</v>
      </c>
      <c r="D844" s="3" t="s">
        <v>34</v>
      </c>
      <c r="E844" s="3" t="s">
        <v>24</v>
      </c>
      <c r="F844" s="3" t="n">
        <v>1</v>
      </c>
      <c r="G844" s="4" t="n">
        <v>18500</v>
      </c>
      <c r="H844" s="4" t="n">
        <f aca="false">F844*G844</f>
        <v>18500</v>
      </c>
    </row>
    <row r="845" customFormat="false" ht="15" hidden="false" customHeight="false" outlineLevel="0" collapsed="false">
      <c r="A845" s="3" t="s">
        <v>1025</v>
      </c>
      <c r="B845" s="3" t="s">
        <v>1026</v>
      </c>
      <c r="C845" s="3" t="s">
        <v>12</v>
      </c>
      <c r="D845" s="3" t="s">
        <v>23</v>
      </c>
      <c r="E845" s="3" t="s">
        <v>27</v>
      </c>
      <c r="F845" s="3" t="n">
        <v>1</v>
      </c>
      <c r="G845" s="4" t="n">
        <v>6500</v>
      </c>
      <c r="H845" s="4" t="n">
        <f aca="false">F845*G845</f>
        <v>6500</v>
      </c>
    </row>
    <row r="846" customFormat="false" ht="15" hidden="false" customHeight="false" outlineLevel="0" collapsed="false">
      <c r="A846" s="3" t="s">
        <v>1027</v>
      </c>
      <c r="B846" s="3" t="s">
        <v>1026</v>
      </c>
      <c r="C846" s="3" t="s">
        <v>6</v>
      </c>
      <c r="D846" s="3" t="s">
        <v>26</v>
      </c>
      <c r="E846" s="3" t="s">
        <v>27</v>
      </c>
      <c r="F846" s="3" t="n">
        <v>1</v>
      </c>
      <c r="G846" s="4" t="n">
        <v>2500</v>
      </c>
      <c r="H846" s="4" t="n">
        <f aca="false">F846*G846</f>
        <v>2500</v>
      </c>
    </row>
    <row r="847" customFormat="false" ht="15" hidden="false" customHeight="false" outlineLevel="0" collapsed="false">
      <c r="A847" s="3" t="s">
        <v>1028</v>
      </c>
      <c r="B847" s="3" t="s">
        <v>1026</v>
      </c>
      <c r="C847" s="3" t="s">
        <v>12</v>
      </c>
      <c r="D847" s="3" t="s">
        <v>26</v>
      </c>
      <c r="E847" s="3" t="s">
        <v>24</v>
      </c>
      <c r="F847" s="3" t="n">
        <v>3</v>
      </c>
      <c r="G847" s="4" t="n">
        <v>2500</v>
      </c>
      <c r="H847" s="4" t="n">
        <f aca="false">F847*G847</f>
        <v>7500</v>
      </c>
    </row>
    <row r="848" customFormat="false" ht="15" hidden="false" customHeight="false" outlineLevel="0" collapsed="false">
      <c r="A848" s="3" t="s">
        <v>1029</v>
      </c>
      <c r="B848" s="3" t="s">
        <v>1026</v>
      </c>
      <c r="C848" s="3" t="s">
        <v>10</v>
      </c>
      <c r="D848" s="3" t="s">
        <v>34</v>
      </c>
      <c r="E848" s="3" t="s">
        <v>24</v>
      </c>
      <c r="F848" s="3" t="n">
        <v>1</v>
      </c>
      <c r="G848" s="4" t="n">
        <v>18500</v>
      </c>
      <c r="H848" s="4" t="n">
        <f aca="false">F848*G848</f>
        <v>18500</v>
      </c>
    </row>
    <row r="849" customFormat="false" ht="15" hidden="false" customHeight="false" outlineLevel="0" collapsed="false">
      <c r="A849" s="3" t="s">
        <v>1030</v>
      </c>
      <c r="B849" s="3" t="s">
        <v>1026</v>
      </c>
      <c r="C849" s="3" t="s">
        <v>11</v>
      </c>
      <c r="D849" s="3" t="s">
        <v>23</v>
      </c>
      <c r="E849" s="3" t="s">
        <v>27</v>
      </c>
      <c r="F849" s="3" t="n">
        <v>1</v>
      </c>
      <c r="G849" s="4" t="n">
        <v>6500</v>
      </c>
      <c r="H849" s="4" t="n">
        <f aca="false">F849*G849</f>
        <v>6500</v>
      </c>
    </row>
    <row r="850" customFormat="false" ht="15" hidden="false" customHeight="false" outlineLevel="0" collapsed="false">
      <c r="A850" s="3" t="s">
        <v>1031</v>
      </c>
      <c r="B850" s="3" t="s">
        <v>1026</v>
      </c>
      <c r="C850" s="3" t="s">
        <v>8</v>
      </c>
      <c r="D850" s="3" t="s">
        <v>29</v>
      </c>
      <c r="E850" s="3" t="s">
        <v>27</v>
      </c>
      <c r="F850" s="3" t="n">
        <v>1</v>
      </c>
      <c r="G850" s="4" t="n">
        <v>45000</v>
      </c>
      <c r="H850" s="4" t="n">
        <f aca="false">F850*G850</f>
        <v>45000</v>
      </c>
    </row>
    <row r="851" customFormat="false" ht="15" hidden="false" customHeight="false" outlineLevel="0" collapsed="false">
      <c r="A851" s="3" t="s">
        <v>1032</v>
      </c>
      <c r="B851" s="3" t="s">
        <v>1033</v>
      </c>
      <c r="C851" s="3" t="s">
        <v>10</v>
      </c>
      <c r="D851" s="3" t="s">
        <v>34</v>
      </c>
      <c r="E851" s="3" t="s">
        <v>24</v>
      </c>
      <c r="F851" s="3" t="n">
        <v>1</v>
      </c>
      <c r="G851" s="4" t="n">
        <v>18500</v>
      </c>
      <c r="H851" s="4" t="n">
        <f aca="false">F851*G851</f>
        <v>18500</v>
      </c>
    </row>
    <row r="852" customFormat="false" ht="15" hidden="false" customHeight="false" outlineLevel="0" collapsed="false">
      <c r="A852" s="3" t="s">
        <v>1034</v>
      </c>
      <c r="B852" s="3" t="s">
        <v>1033</v>
      </c>
      <c r="C852" s="3" t="s">
        <v>6</v>
      </c>
      <c r="D852" s="3" t="s">
        <v>26</v>
      </c>
      <c r="E852" s="3" t="s">
        <v>27</v>
      </c>
      <c r="F852" s="3" t="n">
        <v>1</v>
      </c>
      <c r="G852" s="4" t="n">
        <v>2500</v>
      </c>
      <c r="H852" s="4" t="n">
        <f aca="false">F852*G852</f>
        <v>2500</v>
      </c>
    </row>
    <row r="853" customFormat="false" ht="15" hidden="false" customHeight="false" outlineLevel="0" collapsed="false">
      <c r="A853" s="3" t="s">
        <v>1035</v>
      </c>
      <c r="B853" s="3" t="s">
        <v>1033</v>
      </c>
      <c r="C853" s="3" t="s">
        <v>8</v>
      </c>
      <c r="D853" s="3" t="s">
        <v>34</v>
      </c>
      <c r="E853" s="3" t="s">
        <v>27</v>
      </c>
      <c r="F853" s="3" t="n">
        <v>1</v>
      </c>
      <c r="G853" s="4" t="n">
        <v>18500</v>
      </c>
      <c r="H853" s="4" t="n">
        <f aca="false">F853*G853</f>
        <v>18500</v>
      </c>
    </row>
    <row r="854" customFormat="false" ht="15" hidden="false" customHeight="false" outlineLevel="0" collapsed="false">
      <c r="A854" s="3" t="s">
        <v>1036</v>
      </c>
      <c r="B854" s="3" t="s">
        <v>1033</v>
      </c>
      <c r="C854" s="3" t="s">
        <v>6</v>
      </c>
      <c r="D854" s="3" t="s">
        <v>26</v>
      </c>
      <c r="E854" s="3" t="s">
        <v>24</v>
      </c>
      <c r="F854" s="3" t="n">
        <v>5</v>
      </c>
      <c r="G854" s="4" t="n">
        <v>2500</v>
      </c>
      <c r="H854" s="4" t="n">
        <f aca="false">F854*G854</f>
        <v>12500</v>
      </c>
    </row>
    <row r="855" customFormat="false" ht="15" hidden="false" customHeight="false" outlineLevel="0" collapsed="false">
      <c r="A855" s="3" t="s">
        <v>1037</v>
      </c>
      <c r="B855" s="3" t="s">
        <v>1033</v>
      </c>
      <c r="C855" s="3" t="s">
        <v>6</v>
      </c>
      <c r="D855" s="3" t="s">
        <v>40</v>
      </c>
      <c r="E855" s="3" t="s">
        <v>24</v>
      </c>
      <c r="F855" s="3" t="n">
        <v>2</v>
      </c>
      <c r="G855" s="4" t="n">
        <v>28000</v>
      </c>
      <c r="H855" s="4" t="n">
        <f aca="false">F855*G855</f>
        <v>56000</v>
      </c>
    </row>
    <row r="856" customFormat="false" ht="15" hidden="false" customHeight="false" outlineLevel="0" collapsed="false">
      <c r="A856" s="3" t="s">
        <v>1038</v>
      </c>
      <c r="B856" s="3" t="s">
        <v>1039</v>
      </c>
      <c r="C856" s="3" t="s">
        <v>6</v>
      </c>
      <c r="D856" s="3" t="s">
        <v>40</v>
      </c>
      <c r="E856" s="3" t="s">
        <v>24</v>
      </c>
      <c r="F856" s="3" t="n">
        <v>2</v>
      </c>
      <c r="G856" s="4" t="n">
        <v>28000</v>
      </c>
      <c r="H856" s="4" t="n">
        <f aca="false">F856*G856</f>
        <v>56000</v>
      </c>
    </row>
    <row r="857" customFormat="false" ht="15" hidden="false" customHeight="false" outlineLevel="0" collapsed="false">
      <c r="A857" s="3" t="s">
        <v>1040</v>
      </c>
      <c r="B857" s="3" t="s">
        <v>1039</v>
      </c>
      <c r="C857" s="3" t="s">
        <v>8</v>
      </c>
      <c r="D857" s="3" t="s">
        <v>26</v>
      </c>
      <c r="E857" s="3" t="s">
        <v>27</v>
      </c>
      <c r="F857" s="3" t="n">
        <v>1</v>
      </c>
      <c r="G857" s="4" t="n">
        <v>2500</v>
      </c>
      <c r="H857" s="4" t="n">
        <f aca="false">F857*G857</f>
        <v>2500</v>
      </c>
    </row>
    <row r="858" customFormat="false" ht="15" hidden="false" customHeight="false" outlineLevel="0" collapsed="false">
      <c r="A858" s="3" t="s">
        <v>1041</v>
      </c>
      <c r="B858" s="3" t="s">
        <v>1039</v>
      </c>
      <c r="C858" s="3" t="s">
        <v>8</v>
      </c>
      <c r="D858" s="3" t="s">
        <v>34</v>
      </c>
      <c r="E858" s="3" t="s">
        <v>24</v>
      </c>
      <c r="F858" s="3" t="n">
        <v>2</v>
      </c>
      <c r="G858" s="4" t="n">
        <v>18500</v>
      </c>
      <c r="H858" s="4" t="n">
        <f aca="false">F858*G858</f>
        <v>37000</v>
      </c>
    </row>
    <row r="859" customFormat="false" ht="15" hidden="false" customHeight="false" outlineLevel="0" collapsed="false">
      <c r="A859" s="3" t="s">
        <v>1042</v>
      </c>
      <c r="B859" s="3" t="s">
        <v>1039</v>
      </c>
      <c r="C859" s="3" t="s">
        <v>6</v>
      </c>
      <c r="D859" s="3" t="s">
        <v>34</v>
      </c>
      <c r="E859" s="3" t="s">
        <v>24</v>
      </c>
      <c r="F859" s="3" t="n">
        <v>2</v>
      </c>
      <c r="G859" s="4" t="n">
        <v>18500</v>
      </c>
      <c r="H859" s="4" t="n">
        <f aca="false">F859*G859</f>
        <v>37000</v>
      </c>
    </row>
    <row r="860" customFormat="false" ht="15" hidden="false" customHeight="false" outlineLevel="0" collapsed="false">
      <c r="A860" s="3" t="s">
        <v>1043</v>
      </c>
      <c r="B860" s="3" t="s">
        <v>1039</v>
      </c>
      <c r="C860" s="3" t="s">
        <v>12</v>
      </c>
      <c r="D860" s="3" t="s">
        <v>34</v>
      </c>
      <c r="E860" s="3" t="s">
        <v>24</v>
      </c>
      <c r="F860" s="3" t="n">
        <v>2</v>
      </c>
      <c r="G860" s="4" t="n">
        <v>18500</v>
      </c>
      <c r="H860" s="4" t="n">
        <f aca="false">F860*G860</f>
        <v>37000</v>
      </c>
    </row>
    <row r="861" customFormat="false" ht="15" hidden="false" customHeight="false" outlineLevel="0" collapsed="false">
      <c r="A861" s="3" t="s">
        <v>1044</v>
      </c>
      <c r="B861" s="3" t="s">
        <v>1039</v>
      </c>
      <c r="C861" s="3" t="s">
        <v>11</v>
      </c>
      <c r="D861" s="3" t="s">
        <v>34</v>
      </c>
      <c r="E861" s="3" t="s">
        <v>24</v>
      </c>
      <c r="F861" s="3" t="n">
        <v>1</v>
      </c>
      <c r="G861" s="4" t="n">
        <v>18500</v>
      </c>
      <c r="H861" s="4" t="n">
        <f aca="false">F861*G861</f>
        <v>18500</v>
      </c>
    </row>
    <row r="862" customFormat="false" ht="15" hidden="false" customHeight="false" outlineLevel="0" collapsed="false">
      <c r="A862" s="3" t="s">
        <v>1045</v>
      </c>
      <c r="B862" s="3" t="s">
        <v>1046</v>
      </c>
      <c r="C862" s="3" t="s">
        <v>8</v>
      </c>
      <c r="D862" s="3" t="s">
        <v>31</v>
      </c>
      <c r="E862" s="3" t="s">
        <v>24</v>
      </c>
      <c r="F862" s="3" t="n">
        <v>1</v>
      </c>
      <c r="G862" s="4" t="n">
        <v>62000</v>
      </c>
      <c r="H862" s="4" t="n">
        <f aca="false">F862*G862</f>
        <v>62000</v>
      </c>
    </row>
    <row r="863" customFormat="false" ht="15" hidden="false" customHeight="false" outlineLevel="0" collapsed="false">
      <c r="A863" s="3" t="s">
        <v>1047</v>
      </c>
      <c r="B863" s="3" t="s">
        <v>1046</v>
      </c>
      <c r="C863" s="3" t="s">
        <v>11</v>
      </c>
      <c r="D863" s="3" t="s">
        <v>29</v>
      </c>
      <c r="E863" s="3" t="s">
        <v>27</v>
      </c>
      <c r="F863" s="3" t="n">
        <v>1</v>
      </c>
      <c r="G863" s="4" t="n">
        <v>45000</v>
      </c>
      <c r="H863" s="4" t="n">
        <f aca="false">F863*G863</f>
        <v>45000</v>
      </c>
    </row>
    <row r="864" customFormat="false" ht="15" hidden="false" customHeight="false" outlineLevel="0" collapsed="false">
      <c r="A864" s="3" t="s">
        <v>1048</v>
      </c>
      <c r="B864" s="3" t="s">
        <v>1046</v>
      </c>
      <c r="C864" s="3" t="s">
        <v>8</v>
      </c>
      <c r="D864" s="3" t="s">
        <v>34</v>
      </c>
      <c r="E864" s="3" t="s">
        <v>24</v>
      </c>
      <c r="F864" s="3" t="n">
        <v>2</v>
      </c>
      <c r="G864" s="4" t="n">
        <v>18500</v>
      </c>
      <c r="H864" s="4" t="n">
        <f aca="false">F864*G864</f>
        <v>37000</v>
      </c>
    </row>
    <row r="865" customFormat="false" ht="15" hidden="false" customHeight="false" outlineLevel="0" collapsed="false">
      <c r="A865" s="3" t="s">
        <v>1049</v>
      </c>
      <c r="B865" s="3" t="s">
        <v>1046</v>
      </c>
      <c r="C865" s="3" t="s">
        <v>11</v>
      </c>
      <c r="D865" s="3" t="s">
        <v>40</v>
      </c>
      <c r="E865" s="3" t="s">
        <v>27</v>
      </c>
      <c r="F865" s="3" t="n">
        <v>1</v>
      </c>
      <c r="G865" s="4" t="n">
        <v>28000</v>
      </c>
      <c r="H865" s="4" t="n">
        <f aca="false">F865*G865</f>
        <v>28000</v>
      </c>
    </row>
    <row r="866" customFormat="false" ht="15" hidden="false" customHeight="false" outlineLevel="0" collapsed="false">
      <c r="A866" s="3" t="s">
        <v>1050</v>
      </c>
      <c r="B866" s="3" t="s">
        <v>1046</v>
      </c>
      <c r="C866" s="3" t="s">
        <v>10</v>
      </c>
      <c r="D866" s="3" t="s">
        <v>34</v>
      </c>
      <c r="E866" s="3" t="s">
        <v>27</v>
      </c>
      <c r="F866" s="3" t="n">
        <v>2</v>
      </c>
      <c r="G866" s="4" t="n">
        <v>18500</v>
      </c>
      <c r="H866" s="4" t="n">
        <f aca="false">F866*G866</f>
        <v>37000</v>
      </c>
    </row>
    <row r="867" customFormat="false" ht="15" hidden="false" customHeight="false" outlineLevel="0" collapsed="false">
      <c r="A867" s="3" t="s">
        <v>1051</v>
      </c>
      <c r="B867" s="3" t="s">
        <v>1046</v>
      </c>
      <c r="C867" s="3" t="s">
        <v>8</v>
      </c>
      <c r="D867" s="3" t="s">
        <v>40</v>
      </c>
      <c r="E867" s="3" t="s">
        <v>24</v>
      </c>
      <c r="F867" s="3" t="n">
        <v>1</v>
      </c>
      <c r="G867" s="4" t="n">
        <v>28000</v>
      </c>
      <c r="H867" s="4" t="n">
        <f aca="false">F867*G867</f>
        <v>28000</v>
      </c>
    </row>
    <row r="868" customFormat="false" ht="15" hidden="false" customHeight="false" outlineLevel="0" collapsed="false">
      <c r="A868" s="3" t="s">
        <v>1052</v>
      </c>
      <c r="B868" s="3" t="s">
        <v>1046</v>
      </c>
      <c r="C868" s="3" t="s">
        <v>6</v>
      </c>
      <c r="D868" s="3" t="s">
        <v>29</v>
      </c>
      <c r="E868" s="3" t="s">
        <v>27</v>
      </c>
      <c r="F868" s="3" t="n">
        <v>1</v>
      </c>
      <c r="G868" s="4" t="n">
        <v>45000</v>
      </c>
      <c r="H868" s="4" t="n">
        <f aca="false">F868*G868</f>
        <v>45000</v>
      </c>
    </row>
    <row r="869" customFormat="false" ht="15" hidden="false" customHeight="false" outlineLevel="0" collapsed="false">
      <c r="A869" s="3" t="s">
        <v>1053</v>
      </c>
      <c r="B869" s="3" t="s">
        <v>1046</v>
      </c>
      <c r="C869" s="3" t="s">
        <v>11</v>
      </c>
      <c r="D869" s="3" t="s">
        <v>23</v>
      </c>
      <c r="E869" s="3" t="s">
        <v>24</v>
      </c>
      <c r="F869" s="3" t="n">
        <v>2</v>
      </c>
      <c r="G869" s="4" t="n">
        <v>6500</v>
      </c>
      <c r="H869" s="4" t="n">
        <f aca="false">F869*G869</f>
        <v>13000</v>
      </c>
    </row>
    <row r="870" customFormat="false" ht="15" hidden="false" customHeight="false" outlineLevel="0" collapsed="false">
      <c r="A870" s="3" t="s">
        <v>1054</v>
      </c>
      <c r="B870" s="3" t="s">
        <v>1055</v>
      </c>
      <c r="C870" s="3" t="s">
        <v>6</v>
      </c>
      <c r="D870" s="3" t="s">
        <v>34</v>
      </c>
      <c r="E870" s="3" t="s">
        <v>24</v>
      </c>
      <c r="F870" s="3" t="n">
        <v>1</v>
      </c>
      <c r="G870" s="4" t="n">
        <v>18500</v>
      </c>
      <c r="H870" s="4" t="n">
        <f aca="false">F870*G870</f>
        <v>18500</v>
      </c>
    </row>
    <row r="871" customFormat="false" ht="15" hidden="false" customHeight="false" outlineLevel="0" collapsed="false">
      <c r="A871" s="3" t="s">
        <v>1056</v>
      </c>
      <c r="B871" s="3" t="s">
        <v>1055</v>
      </c>
      <c r="C871" s="3" t="s">
        <v>8</v>
      </c>
      <c r="D871" s="3" t="s">
        <v>23</v>
      </c>
      <c r="E871" s="3" t="s">
        <v>24</v>
      </c>
      <c r="F871" s="3" t="n">
        <v>1</v>
      </c>
      <c r="G871" s="4" t="n">
        <v>6500</v>
      </c>
      <c r="H871" s="4" t="n">
        <f aca="false">F871*G871</f>
        <v>6500</v>
      </c>
    </row>
    <row r="872" customFormat="false" ht="15" hidden="false" customHeight="false" outlineLevel="0" collapsed="false">
      <c r="A872" s="3" t="s">
        <v>1057</v>
      </c>
      <c r="B872" s="3" t="s">
        <v>1055</v>
      </c>
      <c r="C872" s="3" t="s">
        <v>10</v>
      </c>
      <c r="D872" s="3" t="s">
        <v>23</v>
      </c>
      <c r="E872" s="3" t="s">
        <v>24</v>
      </c>
      <c r="F872" s="3" t="n">
        <v>2</v>
      </c>
      <c r="G872" s="4" t="n">
        <v>6500</v>
      </c>
      <c r="H872" s="4" t="n">
        <f aca="false">F872*G872</f>
        <v>13000</v>
      </c>
    </row>
    <row r="873" customFormat="false" ht="15" hidden="false" customHeight="false" outlineLevel="0" collapsed="false">
      <c r="A873" s="3" t="s">
        <v>1058</v>
      </c>
      <c r="B873" s="3" t="s">
        <v>1055</v>
      </c>
      <c r="C873" s="3" t="s">
        <v>8</v>
      </c>
      <c r="D873" s="3" t="s">
        <v>26</v>
      </c>
      <c r="E873" s="3" t="s">
        <v>27</v>
      </c>
      <c r="F873" s="3" t="n">
        <v>1</v>
      </c>
      <c r="G873" s="4" t="n">
        <v>2500</v>
      </c>
      <c r="H873" s="4" t="n">
        <f aca="false">F873*G873</f>
        <v>2500</v>
      </c>
    </row>
    <row r="874" customFormat="false" ht="15" hidden="false" customHeight="false" outlineLevel="0" collapsed="false">
      <c r="A874" s="3" t="s">
        <v>1059</v>
      </c>
      <c r="B874" s="3" t="s">
        <v>1060</v>
      </c>
      <c r="C874" s="3" t="s">
        <v>6</v>
      </c>
      <c r="D874" s="3" t="s">
        <v>23</v>
      </c>
      <c r="E874" s="3" t="s">
        <v>24</v>
      </c>
      <c r="F874" s="3" t="n">
        <v>5</v>
      </c>
      <c r="G874" s="4" t="n">
        <v>6500</v>
      </c>
      <c r="H874" s="4" t="n">
        <f aca="false">F874*G874</f>
        <v>32500</v>
      </c>
    </row>
    <row r="875" customFormat="false" ht="15" hidden="false" customHeight="false" outlineLevel="0" collapsed="false">
      <c r="A875" s="3" t="s">
        <v>1061</v>
      </c>
      <c r="B875" s="3" t="s">
        <v>1060</v>
      </c>
      <c r="C875" s="3" t="s">
        <v>12</v>
      </c>
      <c r="D875" s="3" t="s">
        <v>34</v>
      </c>
      <c r="E875" s="3" t="s">
        <v>24</v>
      </c>
      <c r="F875" s="3" t="n">
        <v>2</v>
      </c>
      <c r="G875" s="4" t="n">
        <v>18500</v>
      </c>
      <c r="H875" s="4" t="n">
        <f aca="false">F875*G875</f>
        <v>37000</v>
      </c>
    </row>
    <row r="876" customFormat="false" ht="15" hidden="false" customHeight="false" outlineLevel="0" collapsed="false">
      <c r="A876" s="3" t="s">
        <v>1062</v>
      </c>
      <c r="B876" s="3" t="s">
        <v>1060</v>
      </c>
      <c r="C876" s="3" t="s">
        <v>6</v>
      </c>
      <c r="D876" s="3" t="s">
        <v>34</v>
      </c>
      <c r="E876" s="3" t="s">
        <v>24</v>
      </c>
      <c r="F876" s="3" t="n">
        <v>1</v>
      </c>
      <c r="G876" s="4" t="n">
        <v>18500</v>
      </c>
      <c r="H876" s="4" t="n">
        <f aca="false">F876*G876</f>
        <v>18500</v>
      </c>
    </row>
    <row r="877" customFormat="false" ht="15" hidden="false" customHeight="false" outlineLevel="0" collapsed="false">
      <c r="A877" s="3" t="s">
        <v>1063</v>
      </c>
      <c r="B877" s="3" t="s">
        <v>1060</v>
      </c>
      <c r="C877" s="3" t="s">
        <v>6</v>
      </c>
      <c r="D877" s="3" t="s">
        <v>31</v>
      </c>
      <c r="E877" s="3" t="s">
        <v>27</v>
      </c>
      <c r="F877" s="3" t="n">
        <v>1</v>
      </c>
      <c r="G877" s="4" t="n">
        <v>62000</v>
      </c>
      <c r="H877" s="4" t="n">
        <f aca="false">F877*G877</f>
        <v>62000</v>
      </c>
    </row>
    <row r="878" customFormat="false" ht="15" hidden="false" customHeight="false" outlineLevel="0" collapsed="false">
      <c r="A878" s="3" t="s">
        <v>1064</v>
      </c>
      <c r="B878" s="3" t="s">
        <v>1060</v>
      </c>
      <c r="C878" s="3" t="s">
        <v>8</v>
      </c>
      <c r="D878" s="3" t="s">
        <v>23</v>
      </c>
      <c r="E878" s="3" t="s">
        <v>24</v>
      </c>
      <c r="F878" s="3" t="n">
        <v>4</v>
      </c>
      <c r="G878" s="4" t="n">
        <v>6500</v>
      </c>
      <c r="H878" s="4" t="n">
        <f aca="false">F878*G878</f>
        <v>26000</v>
      </c>
    </row>
    <row r="879" customFormat="false" ht="15" hidden="false" customHeight="false" outlineLevel="0" collapsed="false">
      <c r="A879" s="3" t="s">
        <v>1065</v>
      </c>
      <c r="B879" s="3" t="s">
        <v>1060</v>
      </c>
      <c r="C879" s="3" t="s">
        <v>6</v>
      </c>
      <c r="D879" s="3" t="s">
        <v>29</v>
      </c>
      <c r="E879" s="3" t="s">
        <v>24</v>
      </c>
      <c r="F879" s="3" t="n">
        <v>2</v>
      </c>
      <c r="G879" s="4" t="n">
        <v>45000</v>
      </c>
      <c r="H879" s="4" t="n">
        <f aca="false">F879*G879</f>
        <v>90000</v>
      </c>
    </row>
    <row r="880" customFormat="false" ht="15" hidden="false" customHeight="false" outlineLevel="0" collapsed="false">
      <c r="A880" s="3" t="s">
        <v>1066</v>
      </c>
      <c r="B880" s="3" t="s">
        <v>1060</v>
      </c>
      <c r="C880" s="3" t="s">
        <v>12</v>
      </c>
      <c r="D880" s="3" t="s">
        <v>23</v>
      </c>
      <c r="E880" s="3" t="s">
        <v>24</v>
      </c>
      <c r="F880" s="3" t="n">
        <v>5</v>
      </c>
      <c r="G880" s="4" t="n">
        <v>6500</v>
      </c>
      <c r="H880" s="4" t="n">
        <f aca="false">F880*G880</f>
        <v>32500</v>
      </c>
    </row>
    <row r="881" customFormat="false" ht="15" hidden="false" customHeight="false" outlineLevel="0" collapsed="false">
      <c r="A881" s="3" t="s">
        <v>1067</v>
      </c>
      <c r="B881" s="3" t="s">
        <v>1068</v>
      </c>
      <c r="C881" s="3" t="s">
        <v>8</v>
      </c>
      <c r="D881" s="3" t="s">
        <v>31</v>
      </c>
      <c r="E881" s="3" t="s">
        <v>27</v>
      </c>
      <c r="F881" s="3" t="n">
        <v>1</v>
      </c>
      <c r="G881" s="4" t="n">
        <v>62000</v>
      </c>
      <c r="H881" s="4" t="n">
        <f aca="false">F881*G881</f>
        <v>62000</v>
      </c>
    </row>
    <row r="882" customFormat="false" ht="15" hidden="false" customHeight="false" outlineLevel="0" collapsed="false">
      <c r="A882" s="3" t="s">
        <v>1069</v>
      </c>
      <c r="B882" s="3" t="s">
        <v>1068</v>
      </c>
      <c r="C882" s="3" t="s">
        <v>10</v>
      </c>
      <c r="D882" s="3" t="s">
        <v>31</v>
      </c>
      <c r="E882" s="3" t="s">
        <v>24</v>
      </c>
      <c r="F882" s="3" t="n">
        <v>2</v>
      </c>
      <c r="G882" s="4" t="n">
        <v>62000</v>
      </c>
      <c r="H882" s="4" t="n">
        <f aca="false">F882*G882</f>
        <v>124000</v>
      </c>
    </row>
    <row r="883" customFormat="false" ht="15" hidden="false" customHeight="false" outlineLevel="0" collapsed="false">
      <c r="A883" s="3" t="s">
        <v>1070</v>
      </c>
      <c r="B883" s="3" t="s">
        <v>1068</v>
      </c>
      <c r="C883" s="3" t="s">
        <v>6</v>
      </c>
      <c r="D883" s="3" t="s">
        <v>26</v>
      </c>
      <c r="E883" s="3" t="s">
        <v>24</v>
      </c>
      <c r="F883" s="3" t="n">
        <v>5</v>
      </c>
      <c r="G883" s="4" t="n">
        <v>2500</v>
      </c>
      <c r="H883" s="4" t="n">
        <f aca="false">F883*G883</f>
        <v>12500</v>
      </c>
    </row>
    <row r="884" customFormat="false" ht="15" hidden="false" customHeight="false" outlineLevel="0" collapsed="false">
      <c r="A884" s="3" t="s">
        <v>1071</v>
      </c>
      <c r="B884" s="3" t="s">
        <v>1068</v>
      </c>
      <c r="C884" s="3" t="s">
        <v>12</v>
      </c>
      <c r="D884" s="3" t="s">
        <v>23</v>
      </c>
      <c r="E884" s="3" t="s">
        <v>27</v>
      </c>
      <c r="F884" s="3" t="n">
        <v>2</v>
      </c>
      <c r="G884" s="4" t="n">
        <v>6500</v>
      </c>
      <c r="H884" s="4" t="n">
        <f aca="false">F884*G884</f>
        <v>13000</v>
      </c>
    </row>
    <row r="885" customFormat="false" ht="15" hidden="false" customHeight="false" outlineLevel="0" collapsed="false">
      <c r="A885" s="3" t="s">
        <v>1072</v>
      </c>
      <c r="B885" s="3" t="s">
        <v>1068</v>
      </c>
      <c r="C885" s="3" t="s">
        <v>8</v>
      </c>
      <c r="D885" s="3" t="s">
        <v>23</v>
      </c>
      <c r="E885" s="3" t="s">
        <v>24</v>
      </c>
      <c r="F885" s="3" t="n">
        <v>5</v>
      </c>
      <c r="G885" s="4" t="n">
        <v>6500</v>
      </c>
      <c r="H885" s="4" t="n">
        <f aca="false">F885*G885</f>
        <v>32500</v>
      </c>
    </row>
    <row r="886" customFormat="false" ht="15" hidden="false" customHeight="false" outlineLevel="0" collapsed="false">
      <c r="A886" s="3" t="s">
        <v>1073</v>
      </c>
      <c r="B886" s="3" t="s">
        <v>1068</v>
      </c>
      <c r="C886" s="3" t="s">
        <v>8</v>
      </c>
      <c r="D886" s="3" t="s">
        <v>31</v>
      </c>
      <c r="E886" s="3" t="s">
        <v>27</v>
      </c>
      <c r="F886" s="3" t="n">
        <v>2</v>
      </c>
      <c r="G886" s="4" t="n">
        <v>62000</v>
      </c>
      <c r="H886" s="4" t="n">
        <f aca="false">F886*G886</f>
        <v>124000</v>
      </c>
    </row>
    <row r="887" customFormat="false" ht="15" hidden="false" customHeight="false" outlineLevel="0" collapsed="false">
      <c r="A887" s="3" t="s">
        <v>1074</v>
      </c>
      <c r="B887" s="3" t="s">
        <v>1068</v>
      </c>
      <c r="C887" s="3" t="s">
        <v>6</v>
      </c>
      <c r="D887" s="3" t="s">
        <v>23</v>
      </c>
      <c r="E887" s="3" t="s">
        <v>24</v>
      </c>
      <c r="F887" s="3" t="n">
        <v>3</v>
      </c>
      <c r="G887" s="4" t="n">
        <v>6500</v>
      </c>
      <c r="H887" s="4" t="n">
        <f aca="false">F887*G887</f>
        <v>19500</v>
      </c>
    </row>
    <row r="888" customFormat="false" ht="15" hidden="false" customHeight="false" outlineLevel="0" collapsed="false">
      <c r="A888" s="3" t="s">
        <v>1075</v>
      </c>
      <c r="B888" s="3" t="s">
        <v>1068</v>
      </c>
      <c r="C888" s="3" t="s">
        <v>8</v>
      </c>
      <c r="D888" s="3" t="s">
        <v>26</v>
      </c>
      <c r="E888" s="3" t="s">
        <v>27</v>
      </c>
      <c r="F888" s="3" t="n">
        <v>4</v>
      </c>
      <c r="G888" s="4" t="n">
        <v>2500</v>
      </c>
      <c r="H888" s="4" t="n">
        <f aca="false">F888*G888</f>
        <v>10000</v>
      </c>
    </row>
    <row r="889" customFormat="false" ht="15" hidden="false" customHeight="false" outlineLevel="0" collapsed="false">
      <c r="A889" s="3" t="s">
        <v>1076</v>
      </c>
      <c r="B889" s="3" t="s">
        <v>1077</v>
      </c>
      <c r="C889" s="3" t="s">
        <v>10</v>
      </c>
      <c r="D889" s="3" t="s">
        <v>29</v>
      </c>
      <c r="E889" s="3" t="s">
        <v>27</v>
      </c>
      <c r="F889" s="3" t="n">
        <v>2</v>
      </c>
      <c r="G889" s="4" t="n">
        <v>45000</v>
      </c>
      <c r="H889" s="4" t="n">
        <f aca="false">F889*G889</f>
        <v>90000</v>
      </c>
    </row>
    <row r="890" customFormat="false" ht="15" hidden="false" customHeight="false" outlineLevel="0" collapsed="false">
      <c r="A890" s="3" t="s">
        <v>1078</v>
      </c>
      <c r="B890" s="3" t="s">
        <v>1077</v>
      </c>
      <c r="C890" s="3" t="s">
        <v>6</v>
      </c>
      <c r="D890" s="3" t="s">
        <v>26</v>
      </c>
      <c r="E890" s="3" t="s">
        <v>24</v>
      </c>
      <c r="F890" s="3" t="n">
        <v>2</v>
      </c>
      <c r="G890" s="4" t="n">
        <v>2500</v>
      </c>
      <c r="H890" s="4" t="n">
        <f aca="false">F890*G890</f>
        <v>5000</v>
      </c>
    </row>
    <row r="891" customFormat="false" ht="15" hidden="false" customHeight="false" outlineLevel="0" collapsed="false">
      <c r="A891" s="3" t="s">
        <v>1079</v>
      </c>
      <c r="B891" s="3" t="s">
        <v>1077</v>
      </c>
      <c r="C891" s="3" t="s">
        <v>12</v>
      </c>
      <c r="D891" s="3" t="s">
        <v>26</v>
      </c>
      <c r="E891" s="3" t="s">
        <v>27</v>
      </c>
      <c r="F891" s="3" t="n">
        <v>4</v>
      </c>
      <c r="G891" s="4" t="n">
        <v>2500</v>
      </c>
      <c r="H891" s="4" t="n">
        <f aca="false">F891*G891</f>
        <v>10000</v>
      </c>
    </row>
    <row r="892" customFormat="false" ht="15" hidden="false" customHeight="false" outlineLevel="0" collapsed="false">
      <c r="A892" s="3" t="s">
        <v>1080</v>
      </c>
      <c r="B892" s="3" t="s">
        <v>1077</v>
      </c>
      <c r="C892" s="3" t="s">
        <v>8</v>
      </c>
      <c r="D892" s="3" t="s">
        <v>23</v>
      </c>
      <c r="E892" s="3" t="s">
        <v>24</v>
      </c>
      <c r="F892" s="3" t="n">
        <v>5</v>
      </c>
      <c r="G892" s="4" t="n">
        <v>6500</v>
      </c>
      <c r="H892" s="4" t="n">
        <f aca="false">F892*G892</f>
        <v>32500</v>
      </c>
    </row>
    <row r="893" customFormat="false" ht="15" hidden="false" customHeight="false" outlineLevel="0" collapsed="false">
      <c r="A893" s="3" t="s">
        <v>1081</v>
      </c>
      <c r="B893" s="3" t="s">
        <v>1077</v>
      </c>
      <c r="C893" s="3" t="s">
        <v>11</v>
      </c>
      <c r="D893" s="3" t="s">
        <v>40</v>
      </c>
      <c r="E893" s="3" t="s">
        <v>24</v>
      </c>
      <c r="F893" s="3" t="n">
        <v>2</v>
      </c>
      <c r="G893" s="4" t="n">
        <v>28000</v>
      </c>
      <c r="H893" s="4" t="n">
        <f aca="false">F893*G893</f>
        <v>56000</v>
      </c>
    </row>
    <row r="894" customFormat="false" ht="15" hidden="false" customHeight="false" outlineLevel="0" collapsed="false">
      <c r="A894" s="3" t="s">
        <v>1082</v>
      </c>
      <c r="B894" s="3" t="s">
        <v>1077</v>
      </c>
      <c r="C894" s="3" t="s">
        <v>8</v>
      </c>
      <c r="D894" s="3" t="s">
        <v>34</v>
      </c>
      <c r="E894" s="3" t="s">
        <v>24</v>
      </c>
      <c r="F894" s="3" t="n">
        <v>2</v>
      </c>
      <c r="G894" s="4" t="n">
        <v>18500</v>
      </c>
      <c r="H894" s="4" t="n">
        <f aca="false">F894*G894</f>
        <v>37000</v>
      </c>
    </row>
    <row r="895" customFormat="false" ht="15" hidden="false" customHeight="false" outlineLevel="0" collapsed="false">
      <c r="A895" s="3" t="s">
        <v>1083</v>
      </c>
      <c r="B895" s="3" t="s">
        <v>1077</v>
      </c>
      <c r="C895" s="3" t="s">
        <v>12</v>
      </c>
      <c r="D895" s="3" t="s">
        <v>29</v>
      </c>
      <c r="E895" s="3" t="s">
        <v>24</v>
      </c>
      <c r="F895" s="3" t="n">
        <v>2</v>
      </c>
      <c r="G895" s="4" t="n">
        <v>45000</v>
      </c>
      <c r="H895" s="4" t="n">
        <f aca="false">F895*G895</f>
        <v>90000</v>
      </c>
    </row>
    <row r="896" customFormat="false" ht="15" hidden="false" customHeight="false" outlineLevel="0" collapsed="false">
      <c r="A896" s="3" t="s">
        <v>1084</v>
      </c>
      <c r="B896" s="3" t="s">
        <v>1077</v>
      </c>
      <c r="C896" s="3" t="s">
        <v>11</v>
      </c>
      <c r="D896" s="3" t="s">
        <v>40</v>
      </c>
      <c r="E896" s="3" t="s">
        <v>27</v>
      </c>
      <c r="F896" s="3" t="n">
        <v>1</v>
      </c>
      <c r="G896" s="4" t="n">
        <v>28000</v>
      </c>
      <c r="H896" s="4" t="n">
        <f aca="false">F896*G896</f>
        <v>28000</v>
      </c>
    </row>
    <row r="897" customFormat="false" ht="15" hidden="false" customHeight="false" outlineLevel="0" collapsed="false">
      <c r="A897" s="3" t="s">
        <v>1085</v>
      </c>
      <c r="B897" s="3" t="s">
        <v>1077</v>
      </c>
      <c r="C897" s="3" t="s">
        <v>10</v>
      </c>
      <c r="D897" s="3" t="s">
        <v>26</v>
      </c>
      <c r="E897" s="3" t="s">
        <v>24</v>
      </c>
      <c r="F897" s="3" t="n">
        <v>5</v>
      </c>
      <c r="G897" s="4" t="n">
        <v>2500</v>
      </c>
      <c r="H897" s="4" t="n">
        <f aca="false">F897*G897</f>
        <v>12500</v>
      </c>
    </row>
    <row r="898" customFormat="false" ht="15" hidden="false" customHeight="false" outlineLevel="0" collapsed="false">
      <c r="A898" s="3" t="s">
        <v>1086</v>
      </c>
      <c r="B898" s="3" t="s">
        <v>1087</v>
      </c>
      <c r="C898" s="3" t="s">
        <v>8</v>
      </c>
      <c r="D898" s="3" t="s">
        <v>34</v>
      </c>
      <c r="E898" s="3" t="s">
        <v>24</v>
      </c>
      <c r="F898" s="3" t="n">
        <v>1</v>
      </c>
      <c r="G898" s="4" t="n">
        <v>18500</v>
      </c>
      <c r="H898" s="4" t="n">
        <f aca="false">F898*G898</f>
        <v>18500</v>
      </c>
    </row>
    <row r="899" customFormat="false" ht="15" hidden="false" customHeight="false" outlineLevel="0" collapsed="false">
      <c r="A899" s="3" t="s">
        <v>1088</v>
      </c>
      <c r="B899" s="3" t="s">
        <v>1087</v>
      </c>
      <c r="C899" s="3" t="s">
        <v>6</v>
      </c>
      <c r="D899" s="3" t="s">
        <v>26</v>
      </c>
      <c r="E899" s="3" t="s">
        <v>24</v>
      </c>
      <c r="F899" s="3" t="n">
        <v>1</v>
      </c>
      <c r="G899" s="4" t="n">
        <v>2500</v>
      </c>
      <c r="H899" s="4" t="n">
        <f aca="false">F899*G899</f>
        <v>2500</v>
      </c>
    </row>
    <row r="900" customFormat="false" ht="15" hidden="false" customHeight="false" outlineLevel="0" collapsed="false">
      <c r="A900" s="3" t="s">
        <v>1089</v>
      </c>
      <c r="B900" s="3" t="s">
        <v>1087</v>
      </c>
      <c r="C900" s="3" t="s">
        <v>6</v>
      </c>
      <c r="D900" s="3" t="s">
        <v>23</v>
      </c>
      <c r="E900" s="3" t="s">
        <v>27</v>
      </c>
      <c r="F900" s="3" t="n">
        <v>2</v>
      </c>
      <c r="G900" s="4" t="n">
        <v>6500</v>
      </c>
      <c r="H900" s="4" t="n">
        <f aca="false">F900*G900</f>
        <v>13000</v>
      </c>
    </row>
    <row r="901" customFormat="false" ht="15" hidden="false" customHeight="false" outlineLevel="0" collapsed="false">
      <c r="A901" s="3" t="s">
        <v>1090</v>
      </c>
      <c r="B901" s="3" t="s">
        <v>1087</v>
      </c>
      <c r="C901" s="3" t="s">
        <v>11</v>
      </c>
      <c r="D901" s="3" t="s">
        <v>31</v>
      </c>
      <c r="E901" s="3" t="s">
        <v>27</v>
      </c>
      <c r="F901" s="3" t="n">
        <v>2</v>
      </c>
      <c r="G901" s="4" t="n">
        <v>62000</v>
      </c>
      <c r="H901" s="4" t="n">
        <f aca="false">F901*G901</f>
        <v>124000</v>
      </c>
    </row>
    <row r="902" customFormat="false" ht="15" hidden="false" customHeight="false" outlineLevel="0" collapsed="false">
      <c r="A902" s="3" t="s">
        <v>1091</v>
      </c>
      <c r="B902" s="3" t="s">
        <v>1092</v>
      </c>
      <c r="C902" s="3" t="s">
        <v>12</v>
      </c>
      <c r="D902" s="3" t="s">
        <v>23</v>
      </c>
      <c r="E902" s="3" t="s">
        <v>24</v>
      </c>
      <c r="F902" s="3" t="n">
        <v>5</v>
      </c>
      <c r="G902" s="4" t="n">
        <v>6500</v>
      </c>
      <c r="H902" s="4" t="n">
        <f aca="false">F902*G902</f>
        <v>32500</v>
      </c>
    </row>
    <row r="903" customFormat="false" ht="15" hidden="false" customHeight="false" outlineLevel="0" collapsed="false">
      <c r="A903" s="3" t="s">
        <v>1093</v>
      </c>
      <c r="B903" s="3" t="s">
        <v>1092</v>
      </c>
      <c r="C903" s="3" t="s">
        <v>10</v>
      </c>
      <c r="D903" s="3" t="s">
        <v>34</v>
      </c>
      <c r="E903" s="3" t="s">
        <v>24</v>
      </c>
      <c r="F903" s="3" t="n">
        <v>1</v>
      </c>
      <c r="G903" s="4" t="n">
        <v>18500</v>
      </c>
      <c r="H903" s="4" t="n">
        <f aca="false">F903*G903</f>
        <v>18500</v>
      </c>
    </row>
    <row r="904" customFormat="false" ht="15" hidden="false" customHeight="false" outlineLevel="0" collapsed="false">
      <c r="A904" s="3" t="s">
        <v>1094</v>
      </c>
      <c r="B904" s="3" t="s">
        <v>1092</v>
      </c>
      <c r="C904" s="3" t="s">
        <v>12</v>
      </c>
      <c r="D904" s="3" t="s">
        <v>31</v>
      </c>
      <c r="E904" s="3" t="s">
        <v>27</v>
      </c>
      <c r="F904" s="3" t="n">
        <v>1</v>
      </c>
      <c r="G904" s="4" t="n">
        <v>62000</v>
      </c>
      <c r="H904" s="4" t="n">
        <f aca="false">F904*G904</f>
        <v>62000</v>
      </c>
    </row>
    <row r="905" customFormat="false" ht="15" hidden="false" customHeight="false" outlineLevel="0" collapsed="false">
      <c r="A905" s="3" t="s">
        <v>1095</v>
      </c>
      <c r="B905" s="3" t="s">
        <v>1092</v>
      </c>
      <c r="C905" s="3" t="s">
        <v>10</v>
      </c>
      <c r="D905" s="3" t="s">
        <v>26</v>
      </c>
      <c r="E905" s="3" t="s">
        <v>27</v>
      </c>
      <c r="F905" s="3" t="n">
        <v>3</v>
      </c>
      <c r="G905" s="4" t="n">
        <v>2500</v>
      </c>
      <c r="H905" s="4" t="n">
        <f aca="false">F905*G905</f>
        <v>7500</v>
      </c>
    </row>
    <row r="906" customFormat="false" ht="15" hidden="false" customHeight="false" outlineLevel="0" collapsed="false">
      <c r="A906" s="3" t="s">
        <v>1096</v>
      </c>
      <c r="B906" s="3" t="s">
        <v>1092</v>
      </c>
      <c r="C906" s="3" t="s">
        <v>6</v>
      </c>
      <c r="D906" s="3" t="s">
        <v>23</v>
      </c>
      <c r="E906" s="3" t="s">
        <v>24</v>
      </c>
      <c r="F906" s="3" t="n">
        <v>2</v>
      </c>
      <c r="G906" s="4" t="n">
        <v>6500</v>
      </c>
      <c r="H906" s="4" t="n">
        <f aca="false">F906*G906</f>
        <v>13000</v>
      </c>
    </row>
    <row r="907" customFormat="false" ht="15" hidden="false" customHeight="false" outlineLevel="0" collapsed="false">
      <c r="A907" s="3" t="s">
        <v>1097</v>
      </c>
      <c r="B907" s="3" t="s">
        <v>1092</v>
      </c>
      <c r="C907" s="3" t="s">
        <v>12</v>
      </c>
      <c r="D907" s="3" t="s">
        <v>26</v>
      </c>
      <c r="E907" s="3" t="s">
        <v>27</v>
      </c>
      <c r="F907" s="3" t="n">
        <v>2</v>
      </c>
      <c r="G907" s="4" t="n">
        <v>2500</v>
      </c>
      <c r="H907" s="4" t="n">
        <f aca="false">F907*G907</f>
        <v>5000</v>
      </c>
    </row>
    <row r="908" customFormat="false" ht="15" hidden="false" customHeight="false" outlineLevel="0" collapsed="false">
      <c r="A908" s="3" t="s">
        <v>1098</v>
      </c>
      <c r="B908" s="3" t="s">
        <v>1099</v>
      </c>
      <c r="C908" s="3" t="s">
        <v>10</v>
      </c>
      <c r="D908" s="3" t="s">
        <v>23</v>
      </c>
      <c r="E908" s="3" t="s">
        <v>24</v>
      </c>
      <c r="F908" s="3" t="n">
        <v>4</v>
      </c>
      <c r="G908" s="4" t="n">
        <v>6500</v>
      </c>
      <c r="H908" s="4" t="n">
        <f aca="false">F908*G908</f>
        <v>26000</v>
      </c>
    </row>
    <row r="909" customFormat="false" ht="15" hidden="false" customHeight="false" outlineLevel="0" collapsed="false">
      <c r="A909" s="3" t="s">
        <v>1100</v>
      </c>
      <c r="B909" s="3" t="s">
        <v>1099</v>
      </c>
      <c r="C909" s="3" t="s">
        <v>8</v>
      </c>
      <c r="D909" s="3" t="s">
        <v>34</v>
      </c>
      <c r="E909" s="3" t="s">
        <v>24</v>
      </c>
      <c r="F909" s="3" t="n">
        <v>2</v>
      </c>
      <c r="G909" s="4" t="n">
        <v>18500</v>
      </c>
      <c r="H909" s="4" t="n">
        <f aca="false">F909*G909</f>
        <v>37000</v>
      </c>
    </row>
    <row r="910" customFormat="false" ht="15" hidden="false" customHeight="false" outlineLevel="0" collapsed="false">
      <c r="A910" s="3" t="s">
        <v>1101</v>
      </c>
      <c r="B910" s="3" t="s">
        <v>1099</v>
      </c>
      <c r="C910" s="3" t="s">
        <v>8</v>
      </c>
      <c r="D910" s="3" t="s">
        <v>29</v>
      </c>
      <c r="E910" s="3" t="s">
        <v>27</v>
      </c>
      <c r="F910" s="3" t="n">
        <v>1</v>
      </c>
      <c r="G910" s="4" t="n">
        <v>45000</v>
      </c>
      <c r="H910" s="4" t="n">
        <f aca="false">F910*G910</f>
        <v>45000</v>
      </c>
    </row>
    <row r="911" customFormat="false" ht="15" hidden="false" customHeight="false" outlineLevel="0" collapsed="false">
      <c r="A911" s="3" t="s">
        <v>1102</v>
      </c>
      <c r="B911" s="3" t="s">
        <v>1099</v>
      </c>
      <c r="C911" s="3" t="s">
        <v>8</v>
      </c>
      <c r="D911" s="3" t="s">
        <v>40</v>
      </c>
      <c r="E911" s="3" t="s">
        <v>27</v>
      </c>
      <c r="F911" s="3" t="n">
        <v>1</v>
      </c>
      <c r="G911" s="4" t="n">
        <v>28000</v>
      </c>
      <c r="H911" s="4" t="n">
        <f aca="false">F911*G911</f>
        <v>28000</v>
      </c>
    </row>
    <row r="912" customFormat="false" ht="15" hidden="false" customHeight="false" outlineLevel="0" collapsed="false">
      <c r="A912" s="3" t="s">
        <v>1103</v>
      </c>
      <c r="B912" s="3" t="s">
        <v>1099</v>
      </c>
      <c r="C912" s="3" t="s">
        <v>8</v>
      </c>
      <c r="D912" s="3" t="s">
        <v>40</v>
      </c>
      <c r="E912" s="3" t="s">
        <v>27</v>
      </c>
      <c r="F912" s="3" t="n">
        <v>1</v>
      </c>
      <c r="G912" s="4" t="n">
        <v>28000</v>
      </c>
      <c r="H912" s="4" t="n">
        <f aca="false">F912*G912</f>
        <v>28000</v>
      </c>
    </row>
    <row r="913" customFormat="false" ht="15" hidden="false" customHeight="false" outlineLevel="0" collapsed="false">
      <c r="A913" s="3" t="s">
        <v>1104</v>
      </c>
      <c r="B913" s="3" t="s">
        <v>1099</v>
      </c>
      <c r="C913" s="3" t="s">
        <v>11</v>
      </c>
      <c r="D913" s="3" t="s">
        <v>26</v>
      </c>
      <c r="E913" s="3" t="s">
        <v>24</v>
      </c>
      <c r="F913" s="3" t="n">
        <v>5</v>
      </c>
      <c r="G913" s="4" t="n">
        <v>2500</v>
      </c>
      <c r="H913" s="4" t="n">
        <f aca="false">F913*G913</f>
        <v>12500</v>
      </c>
    </row>
    <row r="914" customFormat="false" ht="15" hidden="false" customHeight="false" outlineLevel="0" collapsed="false">
      <c r="A914" s="3" t="s">
        <v>1105</v>
      </c>
      <c r="B914" s="3" t="s">
        <v>1106</v>
      </c>
      <c r="C914" s="3" t="s">
        <v>8</v>
      </c>
      <c r="D914" s="3" t="s">
        <v>34</v>
      </c>
      <c r="E914" s="3" t="s">
        <v>27</v>
      </c>
      <c r="F914" s="3" t="n">
        <v>2</v>
      </c>
      <c r="G914" s="4" t="n">
        <v>18500</v>
      </c>
      <c r="H914" s="4" t="n">
        <f aca="false">F914*G914</f>
        <v>37000</v>
      </c>
    </row>
    <row r="915" customFormat="false" ht="15" hidden="false" customHeight="false" outlineLevel="0" collapsed="false">
      <c r="A915" s="3" t="s">
        <v>1107</v>
      </c>
      <c r="B915" s="3" t="s">
        <v>1106</v>
      </c>
      <c r="C915" s="3" t="s">
        <v>6</v>
      </c>
      <c r="D915" s="3" t="s">
        <v>26</v>
      </c>
      <c r="E915" s="3" t="s">
        <v>24</v>
      </c>
      <c r="F915" s="3" t="n">
        <v>3</v>
      </c>
      <c r="G915" s="4" t="n">
        <v>2500</v>
      </c>
      <c r="H915" s="4" t="n">
        <f aca="false">F915*G915</f>
        <v>7500</v>
      </c>
    </row>
    <row r="916" customFormat="false" ht="15" hidden="false" customHeight="false" outlineLevel="0" collapsed="false">
      <c r="A916" s="3" t="s">
        <v>1108</v>
      </c>
      <c r="B916" s="3" t="s">
        <v>1106</v>
      </c>
      <c r="C916" s="3" t="s">
        <v>8</v>
      </c>
      <c r="D916" s="3" t="s">
        <v>23</v>
      </c>
      <c r="E916" s="3" t="s">
        <v>24</v>
      </c>
      <c r="F916" s="3" t="n">
        <v>2</v>
      </c>
      <c r="G916" s="4" t="n">
        <v>6500</v>
      </c>
      <c r="H916" s="4" t="n">
        <f aca="false">F916*G916</f>
        <v>13000</v>
      </c>
    </row>
    <row r="917" customFormat="false" ht="15" hidden="false" customHeight="false" outlineLevel="0" collapsed="false">
      <c r="A917" s="3" t="s">
        <v>1109</v>
      </c>
      <c r="B917" s="3" t="s">
        <v>1106</v>
      </c>
      <c r="C917" s="3" t="s">
        <v>6</v>
      </c>
      <c r="D917" s="3" t="s">
        <v>34</v>
      </c>
      <c r="E917" s="3" t="s">
        <v>24</v>
      </c>
      <c r="F917" s="3" t="n">
        <v>2</v>
      </c>
      <c r="G917" s="4" t="n">
        <v>18500</v>
      </c>
      <c r="H917" s="4" t="n">
        <f aca="false">F917*G917</f>
        <v>37000</v>
      </c>
    </row>
    <row r="918" customFormat="false" ht="15" hidden="false" customHeight="false" outlineLevel="0" collapsed="false">
      <c r="A918" s="3" t="s">
        <v>1110</v>
      </c>
      <c r="B918" s="3" t="s">
        <v>1111</v>
      </c>
      <c r="C918" s="3" t="s">
        <v>10</v>
      </c>
      <c r="D918" s="3" t="s">
        <v>31</v>
      </c>
      <c r="E918" s="3" t="s">
        <v>27</v>
      </c>
      <c r="F918" s="3" t="n">
        <v>1</v>
      </c>
      <c r="G918" s="4" t="n">
        <v>62000</v>
      </c>
      <c r="H918" s="4" t="n">
        <f aca="false">F918*G918</f>
        <v>62000</v>
      </c>
    </row>
    <row r="919" customFormat="false" ht="15" hidden="false" customHeight="false" outlineLevel="0" collapsed="false">
      <c r="A919" s="3" t="s">
        <v>1112</v>
      </c>
      <c r="B919" s="3" t="s">
        <v>1111</v>
      </c>
      <c r="C919" s="3" t="s">
        <v>8</v>
      </c>
      <c r="D919" s="3" t="s">
        <v>23</v>
      </c>
      <c r="E919" s="3" t="s">
        <v>27</v>
      </c>
      <c r="F919" s="3" t="n">
        <v>1</v>
      </c>
      <c r="G919" s="4" t="n">
        <v>6500</v>
      </c>
      <c r="H919" s="4" t="n">
        <f aca="false">F919*G919</f>
        <v>6500</v>
      </c>
    </row>
    <row r="920" customFormat="false" ht="15" hidden="false" customHeight="false" outlineLevel="0" collapsed="false">
      <c r="A920" s="3" t="s">
        <v>1113</v>
      </c>
      <c r="B920" s="3" t="s">
        <v>1111</v>
      </c>
      <c r="C920" s="3" t="s">
        <v>11</v>
      </c>
      <c r="D920" s="3" t="s">
        <v>23</v>
      </c>
      <c r="E920" s="3" t="s">
        <v>24</v>
      </c>
      <c r="F920" s="3" t="n">
        <v>4</v>
      </c>
      <c r="G920" s="4" t="n">
        <v>6500</v>
      </c>
      <c r="H920" s="4" t="n">
        <f aca="false">F920*G920</f>
        <v>26000</v>
      </c>
    </row>
    <row r="921" customFormat="false" ht="15" hidden="false" customHeight="false" outlineLevel="0" collapsed="false">
      <c r="A921" s="3" t="s">
        <v>1114</v>
      </c>
      <c r="B921" s="3" t="s">
        <v>1111</v>
      </c>
      <c r="C921" s="3" t="s">
        <v>6</v>
      </c>
      <c r="D921" s="3" t="s">
        <v>29</v>
      </c>
      <c r="E921" s="3" t="s">
        <v>24</v>
      </c>
      <c r="F921" s="3" t="n">
        <v>1</v>
      </c>
      <c r="G921" s="4" t="n">
        <v>45000</v>
      </c>
      <c r="H921" s="4" t="n">
        <f aca="false">F921*G921</f>
        <v>45000</v>
      </c>
    </row>
    <row r="922" customFormat="false" ht="15" hidden="false" customHeight="false" outlineLevel="0" collapsed="false">
      <c r="A922" s="3" t="s">
        <v>1115</v>
      </c>
      <c r="B922" s="3" t="s">
        <v>1116</v>
      </c>
      <c r="C922" s="3" t="s">
        <v>6</v>
      </c>
      <c r="D922" s="3" t="s">
        <v>34</v>
      </c>
      <c r="E922" s="3" t="s">
        <v>24</v>
      </c>
      <c r="F922" s="3" t="n">
        <v>1</v>
      </c>
      <c r="G922" s="4" t="n">
        <v>18500</v>
      </c>
      <c r="H922" s="4" t="n">
        <f aca="false">F922*G922</f>
        <v>18500</v>
      </c>
    </row>
    <row r="923" customFormat="false" ht="15" hidden="false" customHeight="false" outlineLevel="0" collapsed="false">
      <c r="A923" s="3" t="s">
        <v>1117</v>
      </c>
      <c r="B923" s="3" t="s">
        <v>1116</v>
      </c>
      <c r="C923" s="3" t="s">
        <v>12</v>
      </c>
      <c r="D923" s="3" t="s">
        <v>26</v>
      </c>
      <c r="E923" s="3" t="s">
        <v>24</v>
      </c>
      <c r="F923" s="3" t="n">
        <v>1</v>
      </c>
      <c r="G923" s="4" t="n">
        <v>2500</v>
      </c>
      <c r="H923" s="4" t="n">
        <f aca="false">F923*G923</f>
        <v>2500</v>
      </c>
    </row>
    <row r="924" customFormat="false" ht="15" hidden="false" customHeight="false" outlineLevel="0" collapsed="false">
      <c r="A924" s="3" t="s">
        <v>1118</v>
      </c>
      <c r="B924" s="3" t="s">
        <v>1116</v>
      </c>
      <c r="C924" s="3" t="s">
        <v>8</v>
      </c>
      <c r="D924" s="3" t="s">
        <v>34</v>
      </c>
      <c r="E924" s="3" t="s">
        <v>27</v>
      </c>
      <c r="F924" s="3" t="n">
        <v>2</v>
      </c>
      <c r="G924" s="4" t="n">
        <v>18500</v>
      </c>
      <c r="H924" s="4" t="n">
        <f aca="false">F924*G924</f>
        <v>37000</v>
      </c>
    </row>
    <row r="925" customFormat="false" ht="15" hidden="false" customHeight="false" outlineLevel="0" collapsed="false">
      <c r="A925" s="3" t="s">
        <v>1119</v>
      </c>
      <c r="B925" s="3" t="s">
        <v>1116</v>
      </c>
      <c r="C925" s="3" t="s">
        <v>6</v>
      </c>
      <c r="D925" s="3" t="s">
        <v>34</v>
      </c>
      <c r="E925" s="3" t="s">
        <v>27</v>
      </c>
      <c r="F925" s="3" t="n">
        <v>2</v>
      </c>
      <c r="G925" s="4" t="n">
        <v>18500</v>
      </c>
      <c r="H925" s="4" t="n">
        <f aca="false">F925*G925</f>
        <v>37000</v>
      </c>
    </row>
    <row r="926" customFormat="false" ht="15" hidden="false" customHeight="false" outlineLevel="0" collapsed="false">
      <c r="A926" s="3" t="s">
        <v>1120</v>
      </c>
      <c r="B926" s="3" t="s">
        <v>1116</v>
      </c>
      <c r="C926" s="3" t="s">
        <v>6</v>
      </c>
      <c r="D926" s="3" t="s">
        <v>34</v>
      </c>
      <c r="E926" s="3" t="s">
        <v>27</v>
      </c>
      <c r="F926" s="3" t="n">
        <v>2</v>
      </c>
      <c r="G926" s="4" t="n">
        <v>18500</v>
      </c>
      <c r="H926" s="4" t="n">
        <f aca="false">F926*G926</f>
        <v>37000</v>
      </c>
    </row>
    <row r="927" customFormat="false" ht="15" hidden="false" customHeight="false" outlineLevel="0" collapsed="false">
      <c r="A927" s="3" t="s">
        <v>1121</v>
      </c>
      <c r="B927" s="3" t="s">
        <v>1116</v>
      </c>
      <c r="C927" s="3" t="s">
        <v>10</v>
      </c>
      <c r="D927" s="3" t="s">
        <v>29</v>
      </c>
      <c r="E927" s="3" t="s">
        <v>27</v>
      </c>
      <c r="F927" s="3" t="n">
        <v>1</v>
      </c>
      <c r="G927" s="4" t="n">
        <v>45000</v>
      </c>
      <c r="H927" s="4" t="n">
        <f aca="false">F927*G927</f>
        <v>45000</v>
      </c>
    </row>
    <row r="928" customFormat="false" ht="15" hidden="false" customHeight="false" outlineLevel="0" collapsed="false">
      <c r="A928" s="3" t="s">
        <v>1122</v>
      </c>
      <c r="B928" s="3" t="s">
        <v>1116</v>
      </c>
      <c r="C928" s="3" t="s">
        <v>6</v>
      </c>
      <c r="D928" s="3" t="s">
        <v>34</v>
      </c>
      <c r="E928" s="3" t="s">
        <v>24</v>
      </c>
      <c r="F928" s="3" t="n">
        <v>2</v>
      </c>
      <c r="G928" s="4" t="n">
        <v>18500</v>
      </c>
      <c r="H928" s="4" t="n">
        <f aca="false">F928*G928</f>
        <v>37000</v>
      </c>
    </row>
    <row r="929" customFormat="false" ht="15" hidden="false" customHeight="false" outlineLevel="0" collapsed="false">
      <c r="A929" s="3" t="s">
        <v>1123</v>
      </c>
      <c r="B929" s="3" t="s">
        <v>1116</v>
      </c>
      <c r="C929" s="3" t="s">
        <v>11</v>
      </c>
      <c r="D929" s="3" t="s">
        <v>23</v>
      </c>
      <c r="E929" s="3" t="s">
        <v>27</v>
      </c>
      <c r="F929" s="3" t="n">
        <v>3</v>
      </c>
      <c r="G929" s="4" t="n">
        <v>6500</v>
      </c>
      <c r="H929" s="4" t="n">
        <f aca="false">F929*G929</f>
        <v>19500</v>
      </c>
    </row>
    <row r="930" customFormat="false" ht="15" hidden="false" customHeight="false" outlineLevel="0" collapsed="false">
      <c r="A930" s="3" t="s">
        <v>1124</v>
      </c>
      <c r="B930" s="3" t="s">
        <v>1125</v>
      </c>
      <c r="C930" s="3" t="s">
        <v>6</v>
      </c>
      <c r="D930" s="3" t="s">
        <v>29</v>
      </c>
      <c r="E930" s="3" t="s">
        <v>27</v>
      </c>
      <c r="F930" s="3" t="n">
        <v>1</v>
      </c>
      <c r="G930" s="4" t="n">
        <v>45000</v>
      </c>
      <c r="H930" s="4" t="n">
        <f aca="false">F930*G930</f>
        <v>45000</v>
      </c>
    </row>
    <row r="931" customFormat="false" ht="15" hidden="false" customHeight="false" outlineLevel="0" collapsed="false">
      <c r="A931" s="3" t="s">
        <v>1126</v>
      </c>
      <c r="B931" s="3" t="s">
        <v>1125</v>
      </c>
      <c r="C931" s="3" t="s">
        <v>12</v>
      </c>
      <c r="D931" s="3" t="s">
        <v>34</v>
      </c>
      <c r="E931" s="3" t="s">
        <v>24</v>
      </c>
      <c r="F931" s="3" t="n">
        <v>2</v>
      </c>
      <c r="G931" s="4" t="n">
        <v>18500</v>
      </c>
      <c r="H931" s="4" t="n">
        <f aca="false">F931*G931</f>
        <v>37000</v>
      </c>
    </row>
    <row r="932" customFormat="false" ht="15" hidden="false" customHeight="false" outlineLevel="0" collapsed="false">
      <c r="A932" s="3" t="s">
        <v>1127</v>
      </c>
      <c r="B932" s="3" t="s">
        <v>1125</v>
      </c>
      <c r="C932" s="3" t="s">
        <v>11</v>
      </c>
      <c r="D932" s="3" t="s">
        <v>31</v>
      </c>
      <c r="E932" s="3" t="s">
        <v>24</v>
      </c>
      <c r="F932" s="3" t="n">
        <v>2</v>
      </c>
      <c r="G932" s="4" t="n">
        <v>62000</v>
      </c>
      <c r="H932" s="4" t="n">
        <f aca="false">F932*G932</f>
        <v>124000</v>
      </c>
    </row>
    <row r="933" customFormat="false" ht="15" hidden="false" customHeight="false" outlineLevel="0" collapsed="false">
      <c r="A933" s="3" t="s">
        <v>1128</v>
      </c>
      <c r="B933" s="3" t="s">
        <v>1125</v>
      </c>
      <c r="C933" s="3" t="s">
        <v>6</v>
      </c>
      <c r="D933" s="3" t="s">
        <v>34</v>
      </c>
      <c r="E933" s="3" t="s">
        <v>24</v>
      </c>
      <c r="F933" s="3" t="n">
        <v>1</v>
      </c>
      <c r="G933" s="4" t="n">
        <v>18500</v>
      </c>
      <c r="H933" s="4" t="n">
        <f aca="false">F933*G933</f>
        <v>18500</v>
      </c>
    </row>
    <row r="934" customFormat="false" ht="15" hidden="false" customHeight="false" outlineLevel="0" collapsed="false">
      <c r="A934" s="3" t="s">
        <v>1129</v>
      </c>
      <c r="B934" s="3" t="s">
        <v>1125</v>
      </c>
      <c r="C934" s="3" t="s">
        <v>10</v>
      </c>
      <c r="D934" s="3" t="s">
        <v>29</v>
      </c>
      <c r="E934" s="3" t="s">
        <v>27</v>
      </c>
      <c r="F934" s="3" t="n">
        <v>2</v>
      </c>
      <c r="G934" s="4" t="n">
        <v>45000</v>
      </c>
      <c r="H934" s="4" t="n">
        <f aca="false">F934*G934</f>
        <v>90000</v>
      </c>
    </row>
    <row r="935" customFormat="false" ht="15" hidden="false" customHeight="false" outlineLevel="0" collapsed="false">
      <c r="A935" s="3" t="s">
        <v>1130</v>
      </c>
      <c r="B935" s="3" t="s">
        <v>1125</v>
      </c>
      <c r="C935" s="3" t="s">
        <v>8</v>
      </c>
      <c r="D935" s="3" t="s">
        <v>40</v>
      </c>
      <c r="E935" s="3" t="s">
        <v>24</v>
      </c>
      <c r="F935" s="3" t="n">
        <v>2</v>
      </c>
      <c r="G935" s="4" t="n">
        <v>28000</v>
      </c>
      <c r="H935" s="4" t="n">
        <f aca="false">F935*G935</f>
        <v>56000</v>
      </c>
    </row>
    <row r="936" customFormat="false" ht="15" hidden="false" customHeight="false" outlineLevel="0" collapsed="false">
      <c r="A936" s="3" t="s">
        <v>1131</v>
      </c>
      <c r="B936" s="3" t="s">
        <v>1132</v>
      </c>
      <c r="C936" s="3" t="s">
        <v>12</v>
      </c>
      <c r="D936" s="3" t="s">
        <v>26</v>
      </c>
      <c r="E936" s="3" t="s">
        <v>24</v>
      </c>
      <c r="F936" s="3" t="n">
        <v>1</v>
      </c>
      <c r="G936" s="4" t="n">
        <v>2500</v>
      </c>
      <c r="H936" s="4" t="n">
        <f aca="false">F936*G936</f>
        <v>2500</v>
      </c>
    </row>
    <row r="937" customFormat="false" ht="15" hidden="false" customHeight="false" outlineLevel="0" collapsed="false">
      <c r="A937" s="3" t="s">
        <v>1133</v>
      </c>
      <c r="B937" s="3" t="s">
        <v>1132</v>
      </c>
      <c r="C937" s="3" t="s">
        <v>6</v>
      </c>
      <c r="D937" s="3" t="s">
        <v>34</v>
      </c>
      <c r="E937" s="3" t="s">
        <v>24</v>
      </c>
      <c r="F937" s="3" t="n">
        <v>1</v>
      </c>
      <c r="G937" s="4" t="n">
        <v>18500</v>
      </c>
      <c r="H937" s="4" t="n">
        <f aca="false">F937*G937</f>
        <v>18500</v>
      </c>
    </row>
    <row r="938" customFormat="false" ht="15" hidden="false" customHeight="false" outlineLevel="0" collapsed="false">
      <c r="A938" s="3" t="s">
        <v>1134</v>
      </c>
      <c r="B938" s="3" t="s">
        <v>1132</v>
      </c>
      <c r="C938" s="3" t="s">
        <v>8</v>
      </c>
      <c r="D938" s="3" t="s">
        <v>34</v>
      </c>
      <c r="E938" s="3" t="s">
        <v>27</v>
      </c>
      <c r="F938" s="3" t="n">
        <v>1</v>
      </c>
      <c r="G938" s="4" t="n">
        <v>18500</v>
      </c>
      <c r="H938" s="4" t="n">
        <f aca="false">F938*G938</f>
        <v>18500</v>
      </c>
    </row>
    <row r="939" customFormat="false" ht="15" hidden="false" customHeight="false" outlineLevel="0" collapsed="false">
      <c r="A939" s="3" t="s">
        <v>1135</v>
      </c>
      <c r="B939" s="3" t="s">
        <v>1132</v>
      </c>
      <c r="C939" s="3" t="s">
        <v>10</v>
      </c>
      <c r="D939" s="3" t="s">
        <v>29</v>
      </c>
      <c r="E939" s="3" t="s">
        <v>24</v>
      </c>
      <c r="F939" s="3" t="n">
        <v>2</v>
      </c>
      <c r="G939" s="4" t="n">
        <v>45000</v>
      </c>
      <c r="H939" s="4" t="n">
        <f aca="false">F939*G939</f>
        <v>90000</v>
      </c>
    </row>
    <row r="940" customFormat="false" ht="15" hidden="false" customHeight="false" outlineLevel="0" collapsed="false">
      <c r="A940" s="3" t="s">
        <v>1136</v>
      </c>
      <c r="B940" s="3" t="s">
        <v>1132</v>
      </c>
      <c r="C940" s="3" t="s">
        <v>8</v>
      </c>
      <c r="D940" s="3" t="s">
        <v>23</v>
      </c>
      <c r="E940" s="3" t="s">
        <v>27</v>
      </c>
      <c r="F940" s="3" t="n">
        <v>4</v>
      </c>
      <c r="G940" s="4" t="n">
        <v>6500</v>
      </c>
      <c r="H940" s="4" t="n">
        <f aca="false">F940*G940</f>
        <v>26000</v>
      </c>
    </row>
    <row r="941" customFormat="false" ht="15" hidden="false" customHeight="false" outlineLevel="0" collapsed="false">
      <c r="A941" s="3" t="s">
        <v>1137</v>
      </c>
      <c r="B941" s="3" t="s">
        <v>1132</v>
      </c>
      <c r="C941" s="3" t="s">
        <v>12</v>
      </c>
      <c r="D941" s="3" t="s">
        <v>23</v>
      </c>
      <c r="E941" s="3" t="s">
        <v>24</v>
      </c>
      <c r="F941" s="3" t="n">
        <v>2</v>
      </c>
      <c r="G941" s="4" t="n">
        <v>6500</v>
      </c>
      <c r="H941" s="4" t="n">
        <f aca="false">F941*G941</f>
        <v>13000</v>
      </c>
    </row>
    <row r="942" customFormat="false" ht="15" hidden="false" customHeight="false" outlineLevel="0" collapsed="false">
      <c r="A942" s="3" t="s">
        <v>1138</v>
      </c>
      <c r="B942" s="3" t="s">
        <v>1139</v>
      </c>
      <c r="C942" s="3" t="s">
        <v>12</v>
      </c>
      <c r="D942" s="3" t="s">
        <v>40</v>
      </c>
      <c r="E942" s="3" t="s">
        <v>27</v>
      </c>
      <c r="F942" s="3" t="n">
        <v>2</v>
      </c>
      <c r="G942" s="4" t="n">
        <v>28000</v>
      </c>
      <c r="H942" s="4" t="n">
        <f aca="false">F942*G942</f>
        <v>56000</v>
      </c>
    </row>
    <row r="943" customFormat="false" ht="15" hidden="false" customHeight="false" outlineLevel="0" collapsed="false">
      <c r="A943" s="3" t="s">
        <v>1140</v>
      </c>
      <c r="B943" s="3" t="s">
        <v>1139</v>
      </c>
      <c r="C943" s="3" t="s">
        <v>6</v>
      </c>
      <c r="D943" s="3" t="s">
        <v>26</v>
      </c>
      <c r="E943" s="3" t="s">
        <v>27</v>
      </c>
      <c r="F943" s="3" t="n">
        <v>3</v>
      </c>
      <c r="G943" s="4" t="n">
        <v>2500</v>
      </c>
      <c r="H943" s="4" t="n">
        <f aca="false">F943*G943</f>
        <v>7500</v>
      </c>
    </row>
    <row r="944" customFormat="false" ht="15" hidden="false" customHeight="false" outlineLevel="0" collapsed="false">
      <c r="A944" s="3" t="s">
        <v>1141</v>
      </c>
      <c r="B944" s="3" t="s">
        <v>1139</v>
      </c>
      <c r="C944" s="3" t="s">
        <v>6</v>
      </c>
      <c r="D944" s="3" t="s">
        <v>26</v>
      </c>
      <c r="E944" s="3" t="s">
        <v>27</v>
      </c>
      <c r="F944" s="3" t="n">
        <v>1</v>
      </c>
      <c r="G944" s="4" t="n">
        <v>2500</v>
      </c>
      <c r="H944" s="4" t="n">
        <f aca="false">F944*G944</f>
        <v>2500</v>
      </c>
    </row>
    <row r="945" customFormat="false" ht="15" hidden="false" customHeight="false" outlineLevel="0" collapsed="false">
      <c r="A945" s="3" t="s">
        <v>1142</v>
      </c>
      <c r="B945" s="3" t="s">
        <v>1139</v>
      </c>
      <c r="C945" s="3" t="s">
        <v>6</v>
      </c>
      <c r="D945" s="3" t="s">
        <v>34</v>
      </c>
      <c r="E945" s="3" t="s">
        <v>27</v>
      </c>
      <c r="F945" s="3" t="n">
        <v>1</v>
      </c>
      <c r="G945" s="4" t="n">
        <v>18500</v>
      </c>
      <c r="H945" s="4" t="n">
        <f aca="false">F945*G945</f>
        <v>18500</v>
      </c>
    </row>
    <row r="946" customFormat="false" ht="15" hidden="false" customHeight="false" outlineLevel="0" collapsed="false">
      <c r="A946" s="3" t="s">
        <v>1143</v>
      </c>
      <c r="B946" s="3" t="s">
        <v>1139</v>
      </c>
      <c r="C946" s="3" t="s">
        <v>12</v>
      </c>
      <c r="D946" s="3" t="s">
        <v>40</v>
      </c>
      <c r="E946" s="3" t="s">
        <v>27</v>
      </c>
      <c r="F946" s="3" t="n">
        <v>1</v>
      </c>
      <c r="G946" s="4" t="n">
        <v>28000</v>
      </c>
      <c r="H946" s="4" t="n">
        <f aca="false">F946*G946</f>
        <v>28000</v>
      </c>
    </row>
    <row r="947" customFormat="false" ht="15" hidden="false" customHeight="false" outlineLevel="0" collapsed="false">
      <c r="A947" s="3" t="s">
        <v>1144</v>
      </c>
      <c r="B947" s="3" t="s">
        <v>1139</v>
      </c>
      <c r="C947" s="3" t="s">
        <v>6</v>
      </c>
      <c r="D947" s="3" t="s">
        <v>23</v>
      </c>
      <c r="E947" s="3" t="s">
        <v>27</v>
      </c>
      <c r="F947" s="3" t="n">
        <v>5</v>
      </c>
      <c r="G947" s="4" t="n">
        <v>6500</v>
      </c>
      <c r="H947" s="4" t="n">
        <f aca="false">F947*G947</f>
        <v>32500</v>
      </c>
    </row>
    <row r="948" customFormat="false" ht="15" hidden="false" customHeight="false" outlineLevel="0" collapsed="false">
      <c r="A948" s="3" t="s">
        <v>1145</v>
      </c>
      <c r="B948" s="3" t="s">
        <v>1139</v>
      </c>
      <c r="C948" s="3" t="s">
        <v>11</v>
      </c>
      <c r="D948" s="3" t="s">
        <v>23</v>
      </c>
      <c r="E948" s="3" t="s">
        <v>27</v>
      </c>
      <c r="F948" s="3" t="n">
        <v>1</v>
      </c>
      <c r="G948" s="4" t="n">
        <v>6500</v>
      </c>
      <c r="H948" s="4" t="n">
        <f aca="false">F948*G948</f>
        <v>6500</v>
      </c>
    </row>
    <row r="949" customFormat="false" ht="15" hidden="false" customHeight="false" outlineLevel="0" collapsed="false">
      <c r="A949" s="3" t="s">
        <v>1146</v>
      </c>
      <c r="B949" s="3" t="s">
        <v>1139</v>
      </c>
      <c r="C949" s="3" t="s">
        <v>6</v>
      </c>
      <c r="D949" s="3" t="s">
        <v>31</v>
      </c>
      <c r="E949" s="3" t="s">
        <v>27</v>
      </c>
      <c r="F949" s="3" t="n">
        <v>1</v>
      </c>
      <c r="G949" s="4" t="n">
        <v>62000</v>
      </c>
      <c r="H949" s="4" t="n">
        <f aca="false">F949*G949</f>
        <v>62000</v>
      </c>
    </row>
    <row r="950" customFormat="false" ht="15" hidden="false" customHeight="false" outlineLevel="0" collapsed="false">
      <c r="A950" s="3" t="s">
        <v>1147</v>
      </c>
      <c r="B950" s="3" t="s">
        <v>1148</v>
      </c>
      <c r="C950" s="3" t="s">
        <v>8</v>
      </c>
      <c r="D950" s="3" t="s">
        <v>40</v>
      </c>
      <c r="E950" s="3" t="s">
        <v>24</v>
      </c>
      <c r="F950" s="3" t="n">
        <v>2</v>
      </c>
      <c r="G950" s="4" t="n">
        <v>28000</v>
      </c>
      <c r="H950" s="4" t="n">
        <f aca="false">F950*G950</f>
        <v>56000</v>
      </c>
    </row>
    <row r="951" customFormat="false" ht="15" hidden="false" customHeight="false" outlineLevel="0" collapsed="false">
      <c r="A951" s="3" t="s">
        <v>1149</v>
      </c>
      <c r="B951" s="3" t="s">
        <v>1148</v>
      </c>
      <c r="C951" s="3" t="s">
        <v>12</v>
      </c>
      <c r="D951" s="3" t="s">
        <v>31</v>
      </c>
      <c r="E951" s="3" t="s">
        <v>27</v>
      </c>
      <c r="F951" s="3" t="n">
        <v>1</v>
      </c>
      <c r="G951" s="4" t="n">
        <v>62000</v>
      </c>
      <c r="H951" s="4" t="n">
        <f aca="false">F951*G951</f>
        <v>62000</v>
      </c>
    </row>
    <row r="952" customFormat="false" ht="15" hidden="false" customHeight="false" outlineLevel="0" collapsed="false">
      <c r="A952" s="3" t="s">
        <v>1150</v>
      </c>
      <c r="B952" s="3" t="s">
        <v>1148</v>
      </c>
      <c r="C952" s="3" t="s">
        <v>6</v>
      </c>
      <c r="D952" s="3" t="s">
        <v>31</v>
      </c>
      <c r="E952" s="3" t="s">
        <v>27</v>
      </c>
      <c r="F952" s="3" t="n">
        <v>2</v>
      </c>
      <c r="G952" s="4" t="n">
        <v>62000</v>
      </c>
      <c r="H952" s="4" t="n">
        <f aca="false">F952*G952</f>
        <v>124000</v>
      </c>
    </row>
    <row r="953" customFormat="false" ht="15" hidden="false" customHeight="false" outlineLevel="0" collapsed="false">
      <c r="A953" s="3" t="s">
        <v>1151</v>
      </c>
      <c r="B953" s="3" t="s">
        <v>1148</v>
      </c>
      <c r="C953" s="3" t="s">
        <v>10</v>
      </c>
      <c r="D953" s="3" t="s">
        <v>23</v>
      </c>
      <c r="E953" s="3" t="s">
        <v>24</v>
      </c>
      <c r="F953" s="3" t="n">
        <v>1</v>
      </c>
      <c r="G953" s="4" t="n">
        <v>6500</v>
      </c>
      <c r="H953" s="4" t="n">
        <f aca="false">F953*G953</f>
        <v>6500</v>
      </c>
    </row>
    <row r="954" customFormat="false" ht="15" hidden="false" customHeight="false" outlineLevel="0" collapsed="false">
      <c r="A954" s="3" t="s">
        <v>1152</v>
      </c>
      <c r="B954" s="3" t="s">
        <v>1153</v>
      </c>
      <c r="C954" s="3" t="s">
        <v>12</v>
      </c>
      <c r="D954" s="3" t="s">
        <v>40</v>
      </c>
      <c r="E954" s="3" t="s">
        <v>24</v>
      </c>
      <c r="F954" s="3" t="n">
        <v>2</v>
      </c>
      <c r="G954" s="4" t="n">
        <v>28000</v>
      </c>
      <c r="H954" s="4" t="n">
        <f aca="false">F954*G954</f>
        <v>56000</v>
      </c>
    </row>
    <row r="955" customFormat="false" ht="15" hidden="false" customHeight="false" outlineLevel="0" collapsed="false">
      <c r="A955" s="3" t="s">
        <v>1154</v>
      </c>
      <c r="B955" s="3" t="s">
        <v>1153</v>
      </c>
      <c r="C955" s="3" t="s">
        <v>8</v>
      </c>
      <c r="D955" s="3" t="s">
        <v>23</v>
      </c>
      <c r="E955" s="3" t="s">
        <v>24</v>
      </c>
      <c r="F955" s="3" t="n">
        <v>4</v>
      </c>
      <c r="G955" s="4" t="n">
        <v>6500</v>
      </c>
      <c r="H955" s="4" t="n">
        <f aca="false">F955*G955</f>
        <v>26000</v>
      </c>
    </row>
    <row r="956" customFormat="false" ht="15" hidden="false" customHeight="false" outlineLevel="0" collapsed="false">
      <c r="A956" s="3" t="s">
        <v>1155</v>
      </c>
      <c r="B956" s="3" t="s">
        <v>1153</v>
      </c>
      <c r="C956" s="3" t="s">
        <v>8</v>
      </c>
      <c r="D956" s="3" t="s">
        <v>29</v>
      </c>
      <c r="E956" s="3" t="s">
        <v>24</v>
      </c>
      <c r="F956" s="3" t="n">
        <v>2</v>
      </c>
      <c r="G956" s="4" t="n">
        <v>45000</v>
      </c>
      <c r="H956" s="4" t="n">
        <f aca="false">F956*G956</f>
        <v>90000</v>
      </c>
    </row>
    <row r="957" customFormat="false" ht="15" hidden="false" customHeight="false" outlineLevel="0" collapsed="false">
      <c r="A957" s="3" t="s">
        <v>1156</v>
      </c>
      <c r="B957" s="3" t="s">
        <v>1153</v>
      </c>
      <c r="C957" s="3" t="s">
        <v>6</v>
      </c>
      <c r="D957" s="3" t="s">
        <v>23</v>
      </c>
      <c r="E957" s="3" t="s">
        <v>24</v>
      </c>
      <c r="F957" s="3" t="n">
        <v>2</v>
      </c>
      <c r="G957" s="4" t="n">
        <v>6500</v>
      </c>
      <c r="H957" s="4" t="n">
        <f aca="false">F957*G957</f>
        <v>13000</v>
      </c>
    </row>
    <row r="958" customFormat="false" ht="15" hidden="false" customHeight="false" outlineLevel="0" collapsed="false">
      <c r="A958" s="3" t="s">
        <v>1157</v>
      </c>
      <c r="B958" s="3" t="s">
        <v>1153</v>
      </c>
      <c r="C958" s="3" t="s">
        <v>12</v>
      </c>
      <c r="D958" s="3" t="s">
        <v>26</v>
      </c>
      <c r="E958" s="3" t="s">
        <v>24</v>
      </c>
      <c r="F958" s="3" t="n">
        <v>2</v>
      </c>
      <c r="G958" s="4" t="n">
        <v>2500</v>
      </c>
      <c r="H958" s="4" t="n">
        <f aca="false">F958*G958</f>
        <v>5000</v>
      </c>
    </row>
    <row r="959" customFormat="false" ht="15" hidden="false" customHeight="false" outlineLevel="0" collapsed="false">
      <c r="A959" s="3" t="s">
        <v>1158</v>
      </c>
      <c r="B959" s="3" t="s">
        <v>1153</v>
      </c>
      <c r="C959" s="3" t="s">
        <v>8</v>
      </c>
      <c r="D959" s="3" t="s">
        <v>26</v>
      </c>
      <c r="E959" s="3" t="s">
        <v>24</v>
      </c>
      <c r="F959" s="3" t="n">
        <v>1</v>
      </c>
      <c r="G959" s="4" t="n">
        <v>2500</v>
      </c>
      <c r="H959" s="4" t="n">
        <f aca="false">F959*G959</f>
        <v>2500</v>
      </c>
    </row>
    <row r="960" customFormat="false" ht="15" hidden="false" customHeight="false" outlineLevel="0" collapsed="false">
      <c r="A960" s="3" t="s">
        <v>1159</v>
      </c>
      <c r="B960" s="3" t="s">
        <v>1160</v>
      </c>
      <c r="C960" s="3" t="s">
        <v>12</v>
      </c>
      <c r="D960" s="3" t="s">
        <v>26</v>
      </c>
      <c r="E960" s="3" t="s">
        <v>27</v>
      </c>
      <c r="F960" s="3" t="n">
        <v>4</v>
      </c>
      <c r="G960" s="4" t="n">
        <v>2500</v>
      </c>
      <c r="H960" s="4" t="n">
        <f aca="false">F960*G960</f>
        <v>10000</v>
      </c>
    </row>
    <row r="961" customFormat="false" ht="15" hidden="false" customHeight="false" outlineLevel="0" collapsed="false">
      <c r="A961" s="3" t="s">
        <v>1161</v>
      </c>
      <c r="B961" s="3" t="s">
        <v>1160</v>
      </c>
      <c r="C961" s="3" t="s">
        <v>11</v>
      </c>
      <c r="D961" s="3" t="s">
        <v>34</v>
      </c>
      <c r="E961" s="3" t="s">
        <v>27</v>
      </c>
      <c r="F961" s="3" t="n">
        <v>2</v>
      </c>
      <c r="G961" s="4" t="n">
        <v>18500</v>
      </c>
      <c r="H961" s="4" t="n">
        <f aca="false">F961*G961</f>
        <v>37000</v>
      </c>
    </row>
    <row r="962" customFormat="false" ht="15" hidden="false" customHeight="false" outlineLevel="0" collapsed="false">
      <c r="A962" s="3" t="s">
        <v>1162</v>
      </c>
      <c r="B962" s="3" t="s">
        <v>1160</v>
      </c>
      <c r="C962" s="3" t="s">
        <v>12</v>
      </c>
      <c r="D962" s="3" t="s">
        <v>34</v>
      </c>
      <c r="E962" s="3" t="s">
        <v>24</v>
      </c>
      <c r="F962" s="3" t="n">
        <v>1</v>
      </c>
      <c r="G962" s="4" t="n">
        <v>18500</v>
      </c>
      <c r="H962" s="4" t="n">
        <f aca="false">F962*G962</f>
        <v>18500</v>
      </c>
    </row>
    <row r="963" customFormat="false" ht="15" hidden="false" customHeight="false" outlineLevel="0" collapsed="false">
      <c r="A963" s="3" t="s">
        <v>1163</v>
      </c>
      <c r="B963" s="3" t="s">
        <v>1160</v>
      </c>
      <c r="C963" s="3" t="s">
        <v>8</v>
      </c>
      <c r="D963" s="3" t="s">
        <v>29</v>
      </c>
      <c r="E963" s="3" t="s">
        <v>24</v>
      </c>
      <c r="F963" s="3" t="n">
        <v>1</v>
      </c>
      <c r="G963" s="4" t="n">
        <v>45000</v>
      </c>
      <c r="H963" s="4" t="n">
        <f aca="false">F963*G963</f>
        <v>45000</v>
      </c>
    </row>
    <row r="964" customFormat="false" ht="15" hidden="false" customHeight="false" outlineLevel="0" collapsed="false">
      <c r="A964" s="3" t="s">
        <v>1164</v>
      </c>
      <c r="B964" s="3" t="s">
        <v>1160</v>
      </c>
      <c r="C964" s="3" t="s">
        <v>6</v>
      </c>
      <c r="D964" s="3" t="s">
        <v>34</v>
      </c>
      <c r="E964" s="3" t="s">
        <v>27</v>
      </c>
      <c r="F964" s="3" t="n">
        <v>1</v>
      </c>
      <c r="G964" s="4" t="n">
        <v>18500</v>
      </c>
      <c r="H964" s="4" t="n">
        <f aca="false">F964*G964</f>
        <v>18500</v>
      </c>
    </row>
    <row r="965" customFormat="false" ht="15" hidden="false" customHeight="false" outlineLevel="0" collapsed="false">
      <c r="A965" s="3" t="s">
        <v>1165</v>
      </c>
      <c r="B965" s="3" t="s">
        <v>1160</v>
      </c>
      <c r="C965" s="3" t="s">
        <v>8</v>
      </c>
      <c r="D965" s="3" t="s">
        <v>34</v>
      </c>
      <c r="E965" s="3" t="s">
        <v>27</v>
      </c>
      <c r="F965" s="3" t="n">
        <v>1</v>
      </c>
      <c r="G965" s="4" t="n">
        <v>18500</v>
      </c>
      <c r="H965" s="4" t="n">
        <f aca="false">F965*G965</f>
        <v>18500</v>
      </c>
    </row>
    <row r="966" customFormat="false" ht="15" hidden="false" customHeight="false" outlineLevel="0" collapsed="false">
      <c r="A966" s="3" t="s">
        <v>1166</v>
      </c>
      <c r="B966" s="3" t="s">
        <v>1160</v>
      </c>
      <c r="C966" s="3" t="s">
        <v>10</v>
      </c>
      <c r="D966" s="3" t="s">
        <v>26</v>
      </c>
      <c r="E966" s="3" t="s">
        <v>24</v>
      </c>
      <c r="F966" s="3" t="n">
        <v>2</v>
      </c>
      <c r="G966" s="4" t="n">
        <v>2500</v>
      </c>
      <c r="H966" s="4" t="n">
        <f aca="false">F966*G966</f>
        <v>5000</v>
      </c>
    </row>
    <row r="967" customFormat="false" ht="15" hidden="false" customHeight="false" outlineLevel="0" collapsed="false">
      <c r="A967" s="3" t="s">
        <v>1167</v>
      </c>
      <c r="B967" s="3" t="s">
        <v>1160</v>
      </c>
      <c r="C967" s="3" t="s">
        <v>6</v>
      </c>
      <c r="D967" s="3" t="s">
        <v>34</v>
      </c>
      <c r="E967" s="3" t="s">
        <v>24</v>
      </c>
      <c r="F967" s="3" t="n">
        <v>2</v>
      </c>
      <c r="G967" s="4" t="n">
        <v>18500</v>
      </c>
      <c r="H967" s="4" t="n">
        <f aca="false">F967*G967</f>
        <v>37000</v>
      </c>
    </row>
    <row r="968" customFormat="false" ht="15" hidden="false" customHeight="false" outlineLevel="0" collapsed="false">
      <c r="A968" s="3" t="s">
        <v>1168</v>
      </c>
      <c r="B968" s="3" t="s">
        <v>1160</v>
      </c>
      <c r="C968" s="3" t="s">
        <v>6</v>
      </c>
      <c r="D968" s="3" t="s">
        <v>34</v>
      </c>
      <c r="E968" s="3" t="s">
        <v>27</v>
      </c>
      <c r="F968" s="3" t="n">
        <v>2</v>
      </c>
      <c r="G968" s="4" t="n">
        <v>18500</v>
      </c>
      <c r="H968" s="4" t="n">
        <f aca="false">F968*G968</f>
        <v>37000</v>
      </c>
    </row>
    <row r="969" customFormat="false" ht="15" hidden="false" customHeight="false" outlineLevel="0" collapsed="false">
      <c r="A969" s="3" t="s">
        <v>1169</v>
      </c>
      <c r="B969" s="3" t="s">
        <v>1160</v>
      </c>
      <c r="C969" s="3" t="s">
        <v>8</v>
      </c>
      <c r="D969" s="3" t="s">
        <v>34</v>
      </c>
      <c r="E969" s="3" t="s">
        <v>24</v>
      </c>
      <c r="F969" s="3" t="n">
        <v>1</v>
      </c>
      <c r="G969" s="4" t="n">
        <v>18500</v>
      </c>
      <c r="H969" s="4" t="n">
        <f aca="false">F969*G969</f>
        <v>18500</v>
      </c>
    </row>
    <row r="970" customFormat="false" ht="15" hidden="false" customHeight="false" outlineLevel="0" collapsed="false">
      <c r="A970" s="3" t="s">
        <v>1170</v>
      </c>
      <c r="B970" s="3" t="s">
        <v>1171</v>
      </c>
      <c r="C970" s="3" t="s">
        <v>6</v>
      </c>
      <c r="D970" s="3" t="s">
        <v>34</v>
      </c>
      <c r="E970" s="3" t="s">
        <v>24</v>
      </c>
      <c r="F970" s="3" t="n">
        <v>2</v>
      </c>
      <c r="G970" s="4" t="n">
        <v>18500</v>
      </c>
      <c r="H970" s="4" t="n">
        <f aca="false">F970*G970</f>
        <v>37000</v>
      </c>
    </row>
    <row r="971" customFormat="false" ht="15" hidden="false" customHeight="false" outlineLevel="0" collapsed="false">
      <c r="A971" s="3" t="s">
        <v>1172</v>
      </c>
      <c r="B971" s="3" t="s">
        <v>1171</v>
      </c>
      <c r="C971" s="3" t="s">
        <v>12</v>
      </c>
      <c r="D971" s="3" t="s">
        <v>23</v>
      </c>
      <c r="E971" s="3" t="s">
        <v>24</v>
      </c>
      <c r="F971" s="3" t="n">
        <v>3</v>
      </c>
      <c r="G971" s="4" t="n">
        <v>6500</v>
      </c>
      <c r="H971" s="4" t="n">
        <f aca="false">F971*G971</f>
        <v>19500</v>
      </c>
    </row>
    <row r="972" customFormat="false" ht="15" hidden="false" customHeight="false" outlineLevel="0" collapsed="false">
      <c r="A972" s="3" t="s">
        <v>1173</v>
      </c>
      <c r="B972" s="3" t="s">
        <v>1171</v>
      </c>
      <c r="C972" s="3" t="s">
        <v>10</v>
      </c>
      <c r="D972" s="3" t="s">
        <v>26</v>
      </c>
      <c r="E972" s="3" t="s">
        <v>27</v>
      </c>
      <c r="F972" s="3" t="n">
        <v>3</v>
      </c>
      <c r="G972" s="4" t="n">
        <v>2500</v>
      </c>
      <c r="H972" s="4" t="n">
        <f aca="false">F972*G972</f>
        <v>7500</v>
      </c>
    </row>
    <row r="973" customFormat="false" ht="15" hidden="false" customHeight="false" outlineLevel="0" collapsed="false">
      <c r="A973" s="3" t="s">
        <v>1174</v>
      </c>
      <c r="B973" s="3" t="s">
        <v>1171</v>
      </c>
      <c r="C973" s="3" t="s">
        <v>6</v>
      </c>
      <c r="D973" s="3" t="s">
        <v>40</v>
      </c>
      <c r="E973" s="3" t="s">
        <v>24</v>
      </c>
      <c r="F973" s="3" t="n">
        <v>1</v>
      </c>
      <c r="G973" s="4" t="n">
        <v>28000</v>
      </c>
      <c r="H973" s="4" t="n">
        <f aca="false">F973*G973</f>
        <v>28000</v>
      </c>
    </row>
    <row r="974" customFormat="false" ht="15" hidden="false" customHeight="false" outlineLevel="0" collapsed="false">
      <c r="A974" s="3" t="s">
        <v>1175</v>
      </c>
      <c r="B974" s="3" t="s">
        <v>1171</v>
      </c>
      <c r="C974" s="3" t="s">
        <v>12</v>
      </c>
      <c r="D974" s="3" t="s">
        <v>40</v>
      </c>
      <c r="E974" s="3" t="s">
        <v>27</v>
      </c>
      <c r="F974" s="3" t="n">
        <v>1</v>
      </c>
      <c r="G974" s="4" t="n">
        <v>28000</v>
      </c>
      <c r="H974" s="4" t="n">
        <f aca="false">F974*G974</f>
        <v>28000</v>
      </c>
    </row>
    <row r="975" customFormat="false" ht="15" hidden="false" customHeight="false" outlineLevel="0" collapsed="false">
      <c r="A975" s="3" t="s">
        <v>1176</v>
      </c>
      <c r="B975" s="3" t="s">
        <v>1171</v>
      </c>
      <c r="C975" s="3" t="s">
        <v>11</v>
      </c>
      <c r="D975" s="3" t="s">
        <v>40</v>
      </c>
      <c r="E975" s="3" t="s">
        <v>27</v>
      </c>
      <c r="F975" s="3" t="n">
        <v>1</v>
      </c>
      <c r="G975" s="4" t="n">
        <v>28000</v>
      </c>
      <c r="H975" s="4" t="n">
        <f aca="false">F975*G975</f>
        <v>28000</v>
      </c>
    </row>
    <row r="976" customFormat="false" ht="15" hidden="false" customHeight="false" outlineLevel="0" collapsed="false">
      <c r="A976" s="3" t="s">
        <v>1177</v>
      </c>
      <c r="B976" s="3" t="s">
        <v>1171</v>
      </c>
      <c r="C976" s="3" t="s">
        <v>6</v>
      </c>
      <c r="D976" s="3" t="s">
        <v>26</v>
      </c>
      <c r="E976" s="3" t="s">
        <v>24</v>
      </c>
      <c r="F976" s="3" t="n">
        <v>1</v>
      </c>
      <c r="G976" s="4" t="n">
        <v>2500</v>
      </c>
      <c r="H976" s="4" t="n">
        <f aca="false">F976*G976</f>
        <v>2500</v>
      </c>
    </row>
    <row r="977" customFormat="false" ht="15" hidden="false" customHeight="false" outlineLevel="0" collapsed="false">
      <c r="A977" s="3" t="s">
        <v>1178</v>
      </c>
      <c r="B977" s="3" t="s">
        <v>1179</v>
      </c>
      <c r="C977" s="3" t="s">
        <v>8</v>
      </c>
      <c r="D977" s="3" t="s">
        <v>26</v>
      </c>
      <c r="E977" s="3" t="s">
        <v>24</v>
      </c>
      <c r="F977" s="3" t="n">
        <v>1</v>
      </c>
      <c r="G977" s="4" t="n">
        <v>2500</v>
      </c>
      <c r="H977" s="4" t="n">
        <f aca="false">F977*G977</f>
        <v>2500</v>
      </c>
    </row>
    <row r="978" customFormat="false" ht="15" hidden="false" customHeight="false" outlineLevel="0" collapsed="false">
      <c r="A978" s="3" t="s">
        <v>1180</v>
      </c>
      <c r="B978" s="3" t="s">
        <v>1181</v>
      </c>
      <c r="C978" s="3" t="s">
        <v>12</v>
      </c>
      <c r="D978" s="3" t="s">
        <v>31</v>
      </c>
      <c r="E978" s="3" t="s">
        <v>24</v>
      </c>
      <c r="F978" s="3" t="n">
        <v>1</v>
      </c>
      <c r="G978" s="4" t="n">
        <v>62000</v>
      </c>
      <c r="H978" s="4" t="n">
        <f aca="false">F978*G978</f>
        <v>62000</v>
      </c>
    </row>
    <row r="979" customFormat="false" ht="15" hidden="false" customHeight="false" outlineLevel="0" collapsed="false">
      <c r="A979" s="3" t="s">
        <v>1182</v>
      </c>
      <c r="B979" s="3" t="s">
        <v>1181</v>
      </c>
      <c r="C979" s="3" t="s">
        <v>6</v>
      </c>
      <c r="D979" s="3" t="s">
        <v>26</v>
      </c>
      <c r="E979" s="3" t="s">
        <v>24</v>
      </c>
      <c r="F979" s="3" t="n">
        <v>3</v>
      </c>
      <c r="G979" s="4" t="n">
        <v>2500</v>
      </c>
      <c r="H979" s="4" t="n">
        <f aca="false">F979*G979</f>
        <v>7500</v>
      </c>
    </row>
    <row r="980" customFormat="false" ht="15" hidden="false" customHeight="false" outlineLevel="0" collapsed="false">
      <c r="A980" s="3" t="s">
        <v>1183</v>
      </c>
      <c r="B980" s="3" t="s">
        <v>1181</v>
      </c>
      <c r="C980" s="3" t="s">
        <v>8</v>
      </c>
      <c r="D980" s="3" t="s">
        <v>23</v>
      </c>
      <c r="E980" s="3" t="s">
        <v>27</v>
      </c>
      <c r="F980" s="3" t="n">
        <v>5</v>
      </c>
      <c r="G980" s="4" t="n">
        <v>6500</v>
      </c>
      <c r="H980" s="4" t="n">
        <f aca="false">F980*G980</f>
        <v>32500</v>
      </c>
    </row>
    <row r="981" customFormat="false" ht="15" hidden="false" customHeight="false" outlineLevel="0" collapsed="false">
      <c r="A981" s="3" t="s">
        <v>1184</v>
      </c>
      <c r="B981" s="3" t="s">
        <v>1181</v>
      </c>
      <c r="C981" s="3" t="s">
        <v>6</v>
      </c>
      <c r="D981" s="3" t="s">
        <v>31</v>
      </c>
      <c r="E981" s="3" t="s">
        <v>27</v>
      </c>
      <c r="F981" s="3" t="n">
        <v>1</v>
      </c>
      <c r="G981" s="4" t="n">
        <v>62000</v>
      </c>
      <c r="H981" s="4" t="n">
        <f aca="false">F981*G981</f>
        <v>62000</v>
      </c>
    </row>
    <row r="982" customFormat="false" ht="15" hidden="false" customHeight="false" outlineLevel="0" collapsed="false">
      <c r="A982" s="3" t="s">
        <v>1185</v>
      </c>
      <c r="B982" s="3" t="s">
        <v>1186</v>
      </c>
      <c r="C982" s="3" t="s">
        <v>6</v>
      </c>
      <c r="D982" s="3" t="s">
        <v>29</v>
      </c>
      <c r="E982" s="3" t="s">
        <v>27</v>
      </c>
      <c r="F982" s="3" t="n">
        <v>1</v>
      </c>
      <c r="G982" s="4" t="n">
        <v>45000</v>
      </c>
      <c r="H982" s="4" t="n">
        <f aca="false">F982*G982</f>
        <v>45000</v>
      </c>
    </row>
    <row r="983" customFormat="false" ht="15" hidden="false" customHeight="false" outlineLevel="0" collapsed="false">
      <c r="A983" s="3" t="s">
        <v>1187</v>
      </c>
      <c r="B983" s="3" t="s">
        <v>1186</v>
      </c>
      <c r="C983" s="3" t="s">
        <v>6</v>
      </c>
      <c r="D983" s="3" t="s">
        <v>31</v>
      </c>
      <c r="E983" s="3" t="s">
        <v>24</v>
      </c>
      <c r="F983" s="3" t="n">
        <v>1</v>
      </c>
      <c r="G983" s="4" t="n">
        <v>62000</v>
      </c>
      <c r="H983" s="4" t="n">
        <f aca="false">F983*G983</f>
        <v>62000</v>
      </c>
    </row>
    <row r="984" customFormat="false" ht="15" hidden="false" customHeight="false" outlineLevel="0" collapsed="false">
      <c r="A984" s="3" t="s">
        <v>1188</v>
      </c>
      <c r="B984" s="3" t="s">
        <v>1186</v>
      </c>
      <c r="C984" s="3" t="s">
        <v>6</v>
      </c>
      <c r="D984" s="3" t="s">
        <v>26</v>
      </c>
      <c r="E984" s="3" t="s">
        <v>24</v>
      </c>
      <c r="F984" s="3" t="n">
        <v>3</v>
      </c>
      <c r="G984" s="4" t="n">
        <v>2500</v>
      </c>
      <c r="H984" s="4" t="n">
        <f aca="false">F984*G984</f>
        <v>7500</v>
      </c>
    </row>
    <row r="985" customFormat="false" ht="15" hidden="false" customHeight="false" outlineLevel="0" collapsed="false">
      <c r="A985" s="3" t="s">
        <v>1189</v>
      </c>
      <c r="B985" s="3" t="s">
        <v>1186</v>
      </c>
      <c r="C985" s="3" t="s">
        <v>12</v>
      </c>
      <c r="D985" s="3" t="s">
        <v>34</v>
      </c>
      <c r="E985" s="3" t="s">
        <v>24</v>
      </c>
      <c r="F985" s="3" t="n">
        <v>2</v>
      </c>
      <c r="G985" s="4" t="n">
        <v>18500</v>
      </c>
      <c r="H985" s="4" t="n">
        <f aca="false">F985*G985</f>
        <v>37000</v>
      </c>
    </row>
    <row r="986" customFormat="false" ht="15" hidden="false" customHeight="false" outlineLevel="0" collapsed="false">
      <c r="A986" s="3" t="s">
        <v>1190</v>
      </c>
      <c r="B986" s="3" t="s">
        <v>1191</v>
      </c>
      <c r="C986" s="3" t="s">
        <v>10</v>
      </c>
      <c r="D986" s="3" t="s">
        <v>34</v>
      </c>
      <c r="E986" s="3" t="s">
        <v>24</v>
      </c>
      <c r="F986" s="3" t="n">
        <v>1</v>
      </c>
      <c r="G986" s="4" t="n">
        <v>18500</v>
      </c>
      <c r="H986" s="4" t="n">
        <f aca="false">F986*G986</f>
        <v>18500</v>
      </c>
    </row>
    <row r="987" customFormat="false" ht="15" hidden="false" customHeight="false" outlineLevel="0" collapsed="false">
      <c r="A987" s="3" t="s">
        <v>1192</v>
      </c>
      <c r="B987" s="3" t="s">
        <v>1191</v>
      </c>
      <c r="C987" s="3" t="s">
        <v>8</v>
      </c>
      <c r="D987" s="3" t="s">
        <v>29</v>
      </c>
      <c r="E987" s="3" t="s">
        <v>27</v>
      </c>
      <c r="F987" s="3" t="n">
        <v>1</v>
      </c>
      <c r="G987" s="4" t="n">
        <v>45000</v>
      </c>
      <c r="H987" s="4" t="n">
        <f aca="false">F987*G987</f>
        <v>45000</v>
      </c>
    </row>
    <row r="988" customFormat="false" ht="15" hidden="false" customHeight="false" outlineLevel="0" collapsed="false">
      <c r="A988" s="3" t="s">
        <v>1193</v>
      </c>
      <c r="B988" s="3" t="s">
        <v>1191</v>
      </c>
      <c r="C988" s="3" t="s">
        <v>8</v>
      </c>
      <c r="D988" s="3" t="s">
        <v>26</v>
      </c>
      <c r="E988" s="3" t="s">
        <v>24</v>
      </c>
      <c r="F988" s="3" t="n">
        <v>2</v>
      </c>
      <c r="G988" s="4" t="n">
        <v>2500</v>
      </c>
      <c r="H988" s="4" t="n">
        <f aca="false">F988*G988</f>
        <v>5000</v>
      </c>
    </row>
    <row r="989" customFormat="false" ht="15" hidden="false" customHeight="false" outlineLevel="0" collapsed="false">
      <c r="A989" s="3" t="s">
        <v>1194</v>
      </c>
      <c r="B989" s="3" t="s">
        <v>1191</v>
      </c>
      <c r="C989" s="3" t="s">
        <v>6</v>
      </c>
      <c r="D989" s="3" t="s">
        <v>31</v>
      </c>
      <c r="E989" s="3" t="s">
        <v>27</v>
      </c>
      <c r="F989" s="3" t="n">
        <v>2</v>
      </c>
      <c r="G989" s="4" t="n">
        <v>62000</v>
      </c>
      <c r="H989" s="4" t="n">
        <f aca="false">F989*G989</f>
        <v>124000</v>
      </c>
    </row>
    <row r="990" customFormat="false" ht="15" hidden="false" customHeight="false" outlineLevel="0" collapsed="false">
      <c r="A990" s="3" t="s">
        <v>1195</v>
      </c>
      <c r="B990" s="3" t="s">
        <v>1191</v>
      </c>
      <c r="C990" s="3" t="s">
        <v>8</v>
      </c>
      <c r="D990" s="3" t="s">
        <v>26</v>
      </c>
      <c r="E990" s="3" t="s">
        <v>27</v>
      </c>
      <c r="F990" s="3" t="n">
        <v>2</v>
      </c>
      <c r="G990" s="4" t="n">
        <v>2500</v>
      </c>
      <c r="H990" s="4" t="n">
        <f aca="false">F990*G990</f>
        <v>5000</v>
      </c>
    </row>
    <row r="991" customFormat="false" ht="15" hidden="false" customHeight="false" outlineLevel="0" collapsed="false">
      <c r="A991" s="3" t="s">
        <v>1196</v>
      </c>
      <c r="B991" s="3" t="s">
        <v>1197</v>
      </c>
      <c r="C991" s="3" t="s">
        <v>8</v>
      </c>
      <c r="D991" s="3" t="s">
        <v>31</v>
      </c>
      <c r="E991" s="3" t="s">
        <v>27</v>
      </c>
      <c r="F991" s="3" t="n">
        <v>2</v>
      </c>
      <c r="G991" s="4" t="n">
        <v>62000</v>
      </c>
      <c r="H991" s="4" t="n">
        <f aca="false">F991*G991</f>
        <v>124000</v>
      </c>
    </row>
    <row r="992" customFormat="false" ht="15" hidden="false" customHeight="false" outlineLevel="0" collapsed="false">
      <c r="A992" s="3" t="s">
        <v>1198</v>
      </c>
      <c r="B992" s="3" t="s">
        <v>1197</v>
      </c>
      <c r="C992" s="3" t="s">
        <v>6</v>
      </c>
      <c r="D992" s="3" t="s">
        <v>29</v>
      </c>
      <c r="E992" s="3" t="s">
        <v>24</v>
      </c>
      <c r="F992" s="3" t="n">
        <v>2</v>
      </c>
      <c r="G992" s="4" t="n">
        <v>45000</v>
      </c>
      <c r="H992" s="4" t="n">
        <f aca="false">F992*G992</f>
        <v>90000</v>
      </c>
    </row>
    <row r="993" customFormat="false" ht="15" hidden="false" customHeight="false" outlineLevel="0" collapsed="false">
      <c r="A993" s="3" t="s">
        <v>1199</v>
      </c>
      <c r="B993" s="3" t="s">
        <v>1197</v>
      </c>
      <c r="C993" s="3" t="s">
        <v>11</v>
      </c>
      <c r="D993" s="3" t="s">
        <v>40</v>
      </c>
      <c r="E993" s="3" t="s">
        <v>24</v>
      </c>
      <c r="F993" s="3" t="n">
        <v>2</v>
      </c>
      <c r="G993" s="4" t="n">
        <v>28000</v>
      </c>
      <c r="H993" s="4" t="n">
        <f aca="false">F993*G993</f>
        <v>56000</v>
      </c>
    </row>
    <row r="994" customFormat="false" ht="15" hidden="false" customHeight="false" outlineLevel="0" collapsed="false">
      <c r="A994" s="3" t="s">
        <v>1200</v>
      </c>
      <c r="B994" s="3" t="s">
        <v>1197</v>
      </c>
      <c r="C994" s="3" t="s">
        <v>12</v>
      </c>
      <c r="D994" s="3" t="s">
        <v>23</v>
      </c>
      <c r="E994" s="3" t="s">
        <v>24</v>
      </c>
      <c r="F994" s="3" t="n">
        <v>5</v>
      </c>
      <c r="G994" s="4" t="n">
        <v>6500</v>
      </c>
      <c r="H994" s="4" t="n">
        <f aca="false">F994*G994</f>
        <v>32500</v>
      </c>
    </row>
    <row r="995" customFormat="false" ht="15" hidden="false" customHeight="false" outlineLevel="0" collapsed="false">
      <c r="A995" s="3" t="s">
        <v>1201</v>
      </c>
      <c r="B995" s="3" t="s">
        <v>1197</v>
      </c>
      <c r="C995" s="3" t="s">
        <v>6</v>
      </c>
      <c r="D995" s="3" t="s">
        <v>23</v>
      </c>
      <c r="E995" s="3" t="s">
        <v>27</v>
      </c>
      <c r="F995" s="3" t="n">
        <v>4</v>
      </c>
      <c r="G995" s="4" t="n">
        <v>6500</v>
      </c>
      <c r="H995" s="4" t="n">
        <f aca="false">F995*G995</f>
        <v>26000</v>
      </c>
    </row>
    <row r="996" customFormat="false" ht="15" hidden="false" customHeight="false" outlineLevel="0" collapsed="false">
      <c r="A996" s="3" t="s">
        <v>1202</v>
      </c>
      <c r="B996" s="3" t="s">
        <v>1197</v>
      </c>
      <c r="C996" s="3" t="s">
        <v>8</v>
      </c>
      <c r="D996" s="3" t="s">
        <v>26</v>
      </c>
      <c r="E996" s="3" t="s">
        <v>27</v>
      </c>
      <c r="F996" s="3" t="n">
        <v>1</v>
      </c>
      <c r="G996" s="4" t="n">
        <v>2500</v>
      </c>
      <c r="H996" s="4" t="n">
        <f aca="false">F996*G996</f>
        <v>2500</v>
      </c>
    </row>
    <row r="997" customFormat="false" ht="15" hidden="false" customHeight="false" outlineLevel="0" collapsed="false">
      <c r="A997" s="3" t="s">
        <v>1203</v>
      </c>
      <c r="B997" s="3" t="s">
        <v>1197</v>
      </c>
      <c r="C997" s="3" t="s">
        <v>11</v>
      </c>
      <c r="D997" s="3" t="s">
        <v>23</v>
      </c>
      <c r="E997" s="3" t="s">
        <v>24</v>
      </c>
      <c r="F997" s="3" t="n">
        <v>4</v>
      </c>
      <c r="G997" s="4" t="n">
        <v>6500</v>
      </c>
      <c r="H997" s="4" t="n">
        <f aca="false">F997*G997</f>
        <v>26000</v>
      </c>
    </row>
    <row r="998" customFormat="false" ht="15" hidden="false" customHeight="false" outlineLevel="0" collapsed="false">
      <c r="A998" s="3" t="s">
        <v>1204</v>
      </c>
      <c r="B998" s="3" t="s">
        <v>1197</v>
      </c>
      <c r="C998" s="3" t="s">
        <v>11</v>
      </c>
      <c r="D998" s="3" t="s">
        <v>34</v>
      </c>
      <c r="E998" s="3" t="s">
        <v>24</v>
      </c>
      <c r="F998" s="3" t="n">
        <v>1</v>
      </c>
      <c r="G998" s="4" t="n">
        <v>18500</v>
      </c>
      <c r="H998" s="4" t="n">
        <f aca="false">F998*G998</f>
        <v>18500</v>
      </c>
    </row>
    <row r="999" customFormat="false" ht="15" hidden="false" customHeight="false" outlineLevel="0" collapsed="false">
      <c r="A999" s="3" t="s">
        <v>1205</v>
      </c>
      <c r="B999" s="3" t="s">
        <v>1197</v>
      </c>
      <c r="C999" s="3" t="s">
        <v>8</v>
      </c>
      <c r="D999" s="3" t="s">
        <v>23</v>
      </c>
      <c r="E999" s="3" t="s">
        <v>24</v>
      </c>
      <c r="F999" s="3" t="n">
        <v>2</v>
      </c>
      <c r="G999" s="4" t="n">
        <v>6500</v>
      </c>
      <c r="H999" s="4" t="n">
        <f aca="false">F999*G999</f>
        <v>13000</v>
      </c>
    </row>
    <row r="1000" customFormat="false" ht="15" hidden="false" customHeight="false" outlineLevel="0" collapsed="false">
      <c r="A1000" s="3" t="s">
        <v>1206</v>
      </c>
      <c r="B1000" s="3" t="s">
        <v>1207</v>
      </c>
      <c r="C1000" s="3" t="s">
        <v>6</v>
      </c>
      <c r="D1000" s="3" t="s">
        <v>23</v>
      </c>
      <c r="E1000" s="3" t="s">
        <v>24</v>
      </c>
      <c r="F1000" s="3" t="n">
        <v>4</v>
      </c>
      <c r="G1000" s="4" t="n">
        <v>6500</v>
      </c>
      <c r="H1000" s="4" t="n">
        <f aca="false">F1000*G1000</f>
        <v>26000</v>
      </c>
    </row>
    <row r="1001" customFormat="false" ht="15" hidden="false" customHeight="false" outlineLevel="0" collapsed="false">
      <c r="A1001" s="3" t="s">
        <v>1208</v>
      </c>
      <c r="B1001" s="3" t="s">
        <v>1207</v>
      </c>
      <c r="C1001" s="3" t="s">
        <v>6</v>
      </c>
      <c r="D1001" s="3" t="s">
        <v>34</v>
      </c>
      <c r="E1001" s="3" t="s">
        <v>27</v>
      </c>
      <c r="F1001" s="3" t="n">
        <v>1</v>
      </c>
      <c r="G1001" s="4" t="n">
        <v>18500</v>
      </c>
      <c r="H1001" s="4" t="n">
        <f aca="false">F1001*G1001</f>
        <v>18500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4</v>
      </c>
    </row>
    <row r="2" customFormat="false" ht="15" hidden="false" customHeight="false" outlineLevel="0" collapsed="false">
      <c r="A2" s="3" t="s">
        <v>6</v>
      </c>
      <c r="B2" s="3" t="s">
        <v>1209</v>
      </c>
    </row>
    <row r="3" customFormat="false" ht="15" hidden="false" customHeight="false" outlineLevel="0" collapsed="false">
      <c r="A3" s="3" t="s">
        <v>8</v>
      </c>
      <c r="B3" s="3" t="s">
        <v>1210</v>
      </c>
    </row>
    <row r="4" customFormat="false" ht="15" hidden="false" customHeight="false" outlineLevel="0" collapsed="false">
      <c r="A4" s="3" t="s">
        <v>12</v>
      </c>
      <c r="B4" s="3" t="s">
        <v>1211</v>
      </c>
    </row>
    <row r="5" customFormat="false" ht="15" hidden="false" customHeight="false" outlineLevel="0" collapsed="false">
      <c r="A5" s="3" t="s">
        <v>10</v>
      </c>
      <c r="B5" s="3" t="s">
        <v>1212</v>
      </c>
    </row>
    <row r="6" customFormat="false" ht="15" hidden="false" customHeight="false" outlineLevel="0" collapsed="false">
      <c r="A6" s="3" t="s">
        <v>11</v>
      </c>
      <c r="B6" s="3" t="s">
        <v>1212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1213</v>
      </c>
    </row>
    <row r="3" customFormat="false" ht="15" hidden="false" customHeight="false" outlineLevel="0" collapsed="false">
      <c r="A3" s="7" t="s">
        <v>1214</v>
      </c>
    </row>
    <row r="5" customFormat="false" ht="15" hidden="false" customHeight="false" outlineLevel="0" collapsed="false">
      <c r="A5" s="8" t="s">
        <v>1215</v>
      </c>
      <c r="B5" s="9" t="s">
        <v>17</v>
      </c>
      <c r="C5" s="10"/>
      <c r="D5" s="11"/>
    </row>
    <row r="6" customFormat="false" ht="15" hidden="false" customHeight="false" outlineLevel="0" collapsed="false">
      <c r="A6" s="12" t="s">
        <v>0</v>
      </c>
      <c r="B6" s="13" t="s">
        <v>24</v>
      </c>
      <c r="C6" s="14" t="s">
        <v>27</v>
      </c>
      <c r="D6" s="15" t="s">
        <v>1216</v>
      </c>
    </row>
    <row r="7" customFormat="false" ht="15" hidden="false" customHeight="false" outlineLevel="0" collapsed="false">
      <c r="A7" s="16" t="s">
        <v>11</v>
      </c>
      <c r="B7" s="17" t="n">
        <v>2226000</v>
      </c>
      <c r="C7" s="18" t="n">
        <v>1634000</v>
      </c>
      <c r="D7" s="19" t="n">
        <v>3860000</v>
      </c>
    </row>
    <row r="8" customFormat="false" ht="15" hidden="false" customHeight="false" outlineLevel="0" collapsed="false">
      <c r="A8" s="20" t="s">
        <v>12</v>
      </c>
      <c r="B8" s="21" t="n">
        <v>2198500</v>
      </c>
      <c r="C8" s="22" t="n">
        <v>1607000</v>
      </c>
      <c r="D8" s="23" t="n">
        <v>3805500</v>
      </c>
    </row>
    <row r="9" customFormat="false" ht="15" hidden="false" customHeight="false" outlineLevel="0" collapsed="false">
      <c r="A9" s="20" t="s">
        <v>8</v>
      </c>
      <c r="B9" s="21" t="n">
        <v>5268000</v>
      </c>
      <c r="C9" s="22" t="n">
        <v>3176500</v>
      </c>
      <c r="D9" s="23" t="n">
        <v>8444500</v>
      </c>
    </row>
    <row r="10" customFormat="false" ht="15" hidden="false" customHeight="false" outlineLevel="0" collapsed="false">
      <c r="A10" s="20" t="s">
        <v>6</v>
      </c>
      <c r="B10" s="21" t="n">
        <v>7164000</v>
      </c>
      <c r="C10" s="22" t="n">
        <v>4969000</v>
      </c>
      <c r="D10" s="23" t="n">
        <v>12133000</v>
      </c>
    </row>
    <row r="11" customFormat="false" ht="15" hidden="false" customHeight="false" outlineLevel="0" collapsed="false">
      <c r="A11" s="20" t="s">
        <v>10</v>
      </c>
      <c r="B11" s="24" t="n">
        <v>2361000</v>
      </c>
      <c r="C11" s="25" t="n">
        <v>2031000</v>
      </c>
      <c r="D11" s="26" t="n">
        <v>4392000</v>
      </c>
    </row>
    <row r="12" customFormat="false" ht="15" hidden="false" customHeight="false" outlineLevel="0" collapsed="false">
      <c r="A12" s="27" t="s">
        <v>1216</v>
      </c>
      <c r="B12" s="28" t="n">
        <v>19217500</v>
      </c>
      <c r="C12" s="29" t="n">
        <v>13417500</v>
      </c>
      <c r="D12" s="30" t="n">
        <v>32635000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2026-10-13T05:06:46Z</dcterms:created>
  <dc:creator>openpyxl</dc:creator>
  <dc:description/>
  <dc:language>en-US</dc:language>
  <cp:lastModifiedBy/>
  <dcterms:modified xsi:type="dcterms:W3CDTF">2026-10-13T05:06:49Z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